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ob\Downloads\OKR\"/>
    </mc:Choice>
  </mc:AlternateContent>
  <xr:revisionPtr revIDLastSave="0" documentId="8_{200327C6-5CE8-4288-8C7F-B1EAFDA53969}" xr6:coauthVersionLast="47" xr6:coauthVersionMax="47" xr10:uidLastSave="{00000000-0000-0000-0000-000000000000}"/>
  <bookViews>
    <workbookView xWindow="-120" yWindow="-120" windowWidth="29040" windowHeight="15720" tabRatio="742" activeTab="12" xr2:uid="{7753123A-30F0-4533-AA67-DFBDCA568657}"/>
  </bookViews>
  <sheets>
    <sheet name="ROK Prev MV" sheetId="13" r:id="rId1"/>
    <sheet name="01" sheetId="1" r:id="rId2"/>
    <sheet name="02" sheetId="2" r:id="rId3"/>
    <sheet name="03" sheetId="3" r:id="rId4"/>
    <sheet name="04" sheetId="4" r:id="rId5"/>
    <sheet name="05" sheetId="5" r:id="rId6"/>
    <sheet name="06" sheetId="6" r:id="rId7"/>
    <sheet name="07" sheetId="7" r:id="rId8"/>
    <sheet name="08" sheetId="8" r:id="rId9"/>
    <sheet name="09" sheetId="9" r:id="rId10"/>
    <sheet name="10" sheetId="10" r:id="rId11"/>
    <sheet name="11" sheetId="11" r:id="rId12"/>
    <sheet name="12" sheetId="14" r:id="rId13"/>
  </sheets>
  <definedNames>
    <definedName name="_xlnm.Print_Area" localSheetId="1">'01'!$A$1:$M$53</definedName>
    <definedName name="_xlnm.Print_Area" localSheetId="2">'02'!$A$1:$M$53</definedName>
    <definedName name="_xlnm.Print_Area" localSheetId="3">'03'!$A$1:$M$53</definedName>
    <definedName name="_xlnm.Print_Area" localSheetId="4">'04'!$A$1:$M$53</definedName>
    <definedName name="_xlnm.Print_Area" localSheetId="5">'05'!$A$1:$M$53</definedName>
    <definedName name="_xlnm.Print_Area" localSheetId="6">'06'!$A$1:$M$53</definedName>
    <definedName name="_xlnm.Print_Area" localSheetId="7">'07'!$A$1:$M$53</definedName>
    <definedName name="_xlnm.Print_Area" localSheetId="8">'08'!$A$1:$M$53</definedName>
    <definedName name="_xlnm.Print_Area" localSheetId="9">'09'!$A$1:$M$53</definedName>
    <definedName name="_xlnm.Print_Area" localSheetId="10">'10'!$A$1:$M$53</definedName>
    <definedName name="_xlnm.Print_Area" localSheetId="11">'11'!$A$1:$M$53</definedName>
    <definedName name="_xlnm.Print_Area" localSheetId="12">'12'!$A$1:$M$53</definedName>
    <definedName name="_xlnm.Print_Area" localSheetId="0">'ROK Prev MV'!$B$1:$Q$68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4" l="1"/>
  <c r="L4" i="14"/>
  <c r="L46" i="11"/>
  <c r="J46" i="11"/>
  <c r="J50" i="11"/>
  <c r="M30" i="13"/>
  <c r="L4" i="11"/>
  <c r="L46" i="10"/>
  <c r="L4" i="10"/>
  <c r="L46" i="9"/>
  <c r="J46" i="9"/>
  <c r="J50" i="9"/>
  <c r="K30" i="13"/>
  <c r="L4" i="9"/>
  <c r="L46" i="8"/>
  <c r="L4" i="8"/>
  <c r="L46" i="7"/>
  <c r="L4" i="7"/>
  <c r="L46" i="6"/>
  <c r="J46" i="6"/>
  <c r="J50" i="6"/>
  <c r="H30" i="13"/>
  <c r="L4" i="6"/>
  <c r="L46" i="5"/>
  <c r="L4" i="5"/>
  <c r="L46" i="4"/>
  <c r="L4" i="4"/>
  <c r="L46" i="3"/>
  <c r="L4" i="3"/>
  <c r="L46" i="2"/>
  <c r="L4" i="2"/>
  <c r="M46" i="1"/>
  <c r="L46" i="1"/>
  <c r="K46" i="1"/>
  <c r="J46" i="1"/>
  <c r="C46" i="1"/>
  <c r="B46" i="1"/>
  <c r="M46" i="2"/>
  <c r="J46" i="2"/>
  <c r="J50" i="2"/>
  <c r="D30" i="13"/>
  <c r="K46" i="2"/>
  <c r="C46" i="2"/>
  <c r="B46" i="2"/>
  <c r="M46" i="3"/>
  <c r="K46" i="3"/>
  <c r="K50" i="3"/>
  <c r="E31" i="13"/>
  <c r="J46" i="3"/>
  <c r="C46" i="3"/>
  <c r="B46" i="3"/>
  <c r="M46" i="4"/>
  <c r="K46" i="4"/>
  <c r="J46" i="4"/>
  <c r="J50" i="4"/>
  <c r="F30" i="13"/>
  <c r="C46" i="4"/>
  <c r="B46" i="4"/>
  <c r="M46" i="5"/>
  <c r="K46" i="5"/>
  <c r="J46" i="5"/>
  <c r="C46" i="5"/>
  <c r="B46" i="5"/>
  <c r="M46" i="6"/>
  <c r="K46" i="6"/>
  <c r="C46" i="6"/>
  <c r="H13" i="13"/>
  <c r="B46" i="6"/>
  <c r="M46" i="7"/>
  <c r="K46" i="7"/>
  <c r="K50" i="7"/>
  <c r="I31" i="13"/>
  <c r="J46" i="7"/>
  <c r="C46" i="7"/>
  <c r="B46" i="7"/>
  <c r="M46" i="8"/>
  <c r="K46" i="8"/>
  <c r="J46" i="8"/>
  <c r="J50" i="8"/>
  <c r="J30" i="13"/>
  <c r="C46" i="8"/>
  <c r="B46" i="8"/>
  <c r="M46" i="9"/>
  <c r="K46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6" i="9"/>
  <c r="D10" i="9"/>
  <c r="B46" i="9"/>
  <c r="B10" i="9"/>
  <c r="B9" i="9"/>
  <c r="C46" i="9"/>
  <c r="M46" i="10"/>
  <c r="J46" i="10"/>
  <c r="J50" i="10"/>
  <c r="L30" i="13"/>
  <c r="K46" i="10"/>
  <c r="C46" i="10"/>
  <c r="L13" i="13"/>
  <c r="B46" i="10"/>
  <c r="M46" i="11"/>
  <c r="K46" i="11"/>
  <c r="K50" i="11"/>
  <c r="M31" i="13"/>
  <c r="C46" i="11"/>
  <c r="B46" i="11"/>
  <c r="M65" i="13"/>
  <c r="K65" i="13"/>
  <c r="H37" i="13"/>
  <c r="F37" i="13"/>
  <c r="D37" i="13"/>
  <c r="L4" i="1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C10" i="4"/>
  <c r="B10" i="4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46" i="3"/>
  <c r="D10" i="3"/>
  <c r="B10" i="3"/>
  <c r="B9" i="3"/>
  <c r="C10" i="3"/>
  <c r="D50" i="14"/>
  <c r="C50" i="14"/>
  <c r="M46" i="14"/>
  <c r="K46" i="14"/>
  <c r="K50" i="14"/>
  <c r="N31" i="13"/>
  <c r="J46" i="14"/>
  <c r="J50" i="14"/>
  <c r="C46" i="14"/>
  <c r="B46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46" i="14"/>
  <c r="B10" i="14"/>
  <c r="D50" i="11"/>
  <c r="C50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46" i="11"/>
  <c r="D10" i="11"/>
  <c r="B10" i="11"/>
  <c r="B9" i="11"/>
  <c r="C10" i="11"/>
  <c r="D50" i="10"/>
  <c r="C50" i="10"/>
  <c r="K50" i="10"/>
  <c r="L31" i="13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C10" i="10"/>
  <c r="B10" i="10"/>
  <c r="D50" i="9"/>
  <c r="C50" i="9"/>
  <c r="K50" i="9"/>
  <c r="K31" i="13"/>
  <c r="C10" i="9"/>
  <c r="D50" i="8"/>
  <c r="C50" i="8"/>
  <c r="K50" i="8"/>
  <c r="J31" i="13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C10" i="8"/>
  <c r="B10" i="8"/>
  <c r="D50" i="7"/>
  <c r="C50" i="7"/>
  <c r="J50" i="7"/>
  <c r="I30" i="13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46" i="7"/>
  <c r="C10" i="7"/>
  <c r="D50" i="6"/>
  <c r="C50" i="6"/>
  <c r="K50" i="6"/>
  <c r="H31" i="13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C10" i="6"/>
  <c r="B10" i="6"/>
  <c r="D50" i="5"/>
  <c r="C50" i="5"/>
  <c r="K50" i="5"/>
  <c r="G31" i="13"/>
  <c r="J50" i="5"/>
  <c r="G30" i="13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46" i="5"/>
  <c r="C10" i="5"/>
  <c r="B10" i="5"/>
  <c r="D50" i="4"/>
  <c r="C50" i="4"/>
  <c r="K50" i="4"/>
  <c r="F31" i="13"/>
  <c r="D50" i="3"/>
  <c r="C50" i="3"/>
  <c r="J50" i="3"/>
  <c r="E30" i="13"/>
  <c r="D50" i="2"/>
  <c r="C50" i="2"/>
  <c r="K50" i="2"/>
  <c r="D31" i="13"/>
  <c r="K50" i="1"/>
  <c r="C31" i="13"/>
  <c r="O31" i="13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46" i="2"/>
  <c r="B10" i="2"/>
  <c r="N18" i="13"/>
  <c r="N12" i="13"/>
  <c r="B7" i="14"/>
  <c r="H13" i="14"/>
  <c r="H43" i="14"/>
  <c r="B6" i="14"/>
  <c r="G17" i="14"/>
  <c r="G43" i="14"/>
  <c r="A4" i="14"/>
  <c r="H3" i="14"/>
  <c r="A3" i="14"/>
  <c r="K7" i="1"/>
  <c r="K8" i="1"/>
  <c r="E50" i="1"/>
  <c r="B6" i="1"/>
  <c r="B7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26" i="1"/>
  <c r="H26" i="1"/>
  <c r="H27" i="1"/>
  <c r="H28" i="1"/>
  <c r="H29" i="1"/>
  <c r="H30" i="1"/>
  <c r="H31" i="1"/>
  <c r="H32" i="1"/>
  <c r="H33" i="1"/>
  <c r="G34" i="1"/>
  <c r="H34" i="1"/>
  <c r="H35" i="1"/>
  <c r="H36" i="1"/>
  <c r="H37" i="1"/>
  <c r="H38" i="1"/>
  <c r="H39" i="1"/>
  <c r="H40" i="1"/>
  <c r="H41" i="1"/>
  <c r="G42" i="1"/>
  <c r="H42" i="1"/>
  <c r="H43" i="1"/>
  <c r="B6" i="2"/>
  <c r="G16" i="2"/>
  <c r="B7" i="2"/>
  <c r="H16" i="2"/>
  <c r="I16" i="2"/>
  <c r="H43" i="2"/>
  <c r="B6" i="3"/>
  <c r="G43" i="3"/>
  <c r="B7" i="3"/>
  <c r="H43" i="3"/>
  <c r="I43" i="3"/>
  <c r="B6" i="4"/>
  <c r="B7" i="4"/>
  <c r="B6" i="5"/>
  <c r="G13" i="5"/>
  <c r="B7" i="5"/>
  <c r="H43" i="5"/>
  <c r="B6" i="6"/>
  <c r="B7" i="6"/>
  <c r="H43" i="6"/>
  <c r="B6" i="7"/>
  <c r="B7" i="7"/>
  <c r="B6" i="8"/>
  <c r="B7" i="8"/>
  <c r="H15" i="8"/>
  <c r="H43" i="8"/>
  <c r="G43" i="8"/>
  <c r="I43" i="8"/>
  <c r="B6" i="9"/>
  <c r="B7" i="9"/>
  <c r="B6" i="10"/>
  <c r="G43" i="10"/>
  <c r="B7" i="10"/>
  <c r="B6" i="11"/>
  <c r="B7" i="11"/>
  <c r="H43" i="11"/>
  <c r="D31" i="1"/>
  <c r="D30" i="1"/>
  <c r="D32" i="1"/>
  <c r="D37" i="1"/>
  <c r="D28" i="1"/>
  <c r="D29" i="1"/>
  <c r="D33" i="1"/>
  <c r="D34" i="1"/>
  <c r="D35" i="1"/>
  <c r="D36" i="1"/>
  <c r="D38" i="1"/>
  <c r="D39" i="1"/>
  <c r="D40" i="1"/>
  <c r="D16" i="1"/>
  <c r="D17" i="1"/>
  <c r="D18" i="1"/>
  <c r="D19" i="1"/>
  <c r="D20" i="1"/>
  <c r="D21" i="1"/>
  <c r="D22" i="1"/>
  <c r="D23" i="1"/>
  <c r="D14" i="1"/>
  <c r="D15" i="1"/>
  <c r="D13" i="1"/>
  <c r="D24" i="1"/>
  <c r="D25" i="1"/>
  <c r="D26" i="1"/>
  <c r="D27" i="1"/>
  <c r="D41" i="1"/>
  <c r="D42" i="1"/>
  <c r="D43" i="1"/>
  <c r="B10" i="1"/>
  <c r="C10" i="1"/>
  <c r="E7" i="1"/>
  <c r="D50" i="1"/>
  <c r="C50" i="1"/>
  <c r="I13" i="13"/>
  <c r="G13" i="13"/>
  <c r="M13" i="13"/>
  <c r="L12" i="13"/>
  <c r="K13" i="13"/>
  <c r="K12" i="13"/>
  <c r="J13" i="13"/>
  <c r="J12" i="13"/>
  <c r="H12" i="13"/>
  <c r="G12" i="13"/>
  <c r="F13" i="13"/>
  <c r="F12" i="13"/>
  <c r="E13" i="13"/>
  <c r="D12" i="13"/>
  <c r="H3" i="11"/>
  <c r="H3" i="10"/>
  <c r="H3" i="9"/>
  <c r="H3" i="8"/>
  <c r="H3" i="7"/>
  <c r="H3" i="6"/>
  <c r="H3" i="5"/>
  <c r="H3" i="4"/>
  <c r="H3" i="3"/>
  <c r="A4" i="11"/>
  <c r="A3" i="11"/>
  <c r="A4" i="10"/>
  <c r="A3" i="10"/>
  <c r="A4" i="9"/>
  <c r="A3" i="9"/>
  <c r="A4" i="8"/>
  <c r="A3" i="8"/>
  <c r="A4" i="7"/>
  <c r="A3" i="7"/>
  <c r="A4" i="6"/>
  <c r="A3" i="6"/>
  <c r="A4" i="5"/>
  <c r="A3" i="5"/>
  <c r="A4" i="4"/>
  <c r="A3" i="4"/>
  <c r="A4" i="3"/>
  <c r="A3" i="3"/>
  <c r="H3" i="2"/>
  <c r="A4" i="2"/>
  <c r="A3" i="2"/>
  <c r="H3" i="1"/>
  <c r="A4" i="1"/>
  <c r="A3" i="1"/>
  <c r="C13" i="13"/>
  <c r="C12" i="13"/>
  <c r="F33" i="13"/>
  <c r="G13" i="14"/>
  <c r="G14" i="14"/>
  <c r="H14" i="14"/>
  <c r="G15" i="14"/>
  <c r="G16" i="14"/>
  <c r="H16" i="14"/>
  <c r="G18" i="14"/>
  <c r="H18" i="14"/>
  <c r="I18" i="14"/>
  <c r="G19" i="14"/>
  <c r="H20" i="14"/>
  <c r="G21" i="14"/>
  <c r="G22" i="14"/>
  <c r="H22" i="14"/>
  <c r="G23" i="14"/>
  <c r="G24" i="14"/>
  <c r="H24" i="14"/>
  <c r="I24" i="14"/>
  <c r="G26" i="14"/>
  <c r="H26" i="14"/>
  <c r="I26" i="14"/>
  <c r="G27" i="14"/>
  <c r="H28" i="14"/>
  <c r="G29" i="14"/>
  <c r="G30" i="14"/>
  <c r="H30" i="14"/>
  <c r="G31" i="14"/>
  <c r="G32" i="14"/>
  <c r="H32" i="14"/>
  <c r="G34" i="14"/>
  <c r="H34" i="14"/>
  <c r="I34" i="14"/>
  <c r="G35" i="14"/>
  <c r="H36" i="14"/>
  <c r="G37" i="14"/>
  <c r="G38" i="14"/>
  <c r="H38" i="14"/>
  <c r="G39" i="14"/>
  <c r="G40" i="14"/>
  <c r="H40" i="14"/>
  <c r="I40" i="14"/>
  <c r="G42" i="14"/>
  <c r="H42" i="14"/>
  <c r="I42" i="14"/>
  <c r="N30" i="13"/>
  <c r="N19" i="13"/>
  <c r="M14" i="13"/>
  <c r="K14" i="13"/>
  <c r="G15" i="9"/>
  <c r="H15" i="9"/>
  <c r="I15" i="9"/>
  <c r="G16" i="9"/>
  <c r="H16" i="9"/>
  <c r="I16" i="9"/>
  <c r="G22" i="9"/>
  <c r="H22" i="9"/>
  <c r="I22" i="9"/>
  <c r="G24" i="9"/>
  <c r="H24" i="9"/>
  <c r="I24" i="9"/>
  <c r="G29" i="9"/>
  <c r="H29" i="9"/>
  <c r="I29" i="9"/>
  <c r="G36" i="9"/>
  <c r="H36" i="9"/>
  <c r="I36" i="9"/>
  <c r="G37" i="9"/>
  <c r="H37" i="9"/>
  <c r="I37" i="9"/>
  <c r="G38" i="9"/>
  <c r="H38" i="9"/>
  <c r="I38" i="9"/>
  <c r="G14" i="9"/>
  <c r="H14" i="9"/>
  <c r="I14" i="9"/>
  <c r="G17" i="9"/>
  <c r="H17" i="9"/>
  <c r="I17" i="9"/>
  <c r="G18" i="9"/>
  <c r="H18" i="9"/>
  <c r="I18" i="9"/>
  <c r="G19" i="9"/>
  <c r="H19" i="9"/>
  <c r="I19" i="9"/>
  <c r="G20" i="9"/>
  <c r="H20" i="9"/>
  <c r="I20" i="9"/>
  <c r="G21" i="9"/>
  <c r="H21" i="9"/>
  <c r="I21" i="9"/>
  <c r="G23" i="9"/>
  <c r="H23" i="9"/>
  <c r="I23" i="9"/>
  <c r="G25" i="9"/>
  <c r="H25" i="9"/>
  <c r="I25" i="9"/>
  <c r="G26" i="9"/>
  <c r="H26" i="9"/>
  <c r="I26" i="9"/>
  <c r="G27" i="9"/>
  <c r="H27" i="9"/>
  <c r="I27" i="9"/>
  <c r="G28" i="9"/>
  <c r="H28" i="9"/>
  <c r="I28" i="9"/>
  <c r="G30" i="9"/>
  <c r="H30" i="9"/>
  <c r="I30" i="9"/>
  <c r="G31" i="9"/>
  <c r="H31" i="9"/>
  <c r="I31" i="9"/>
  <c r="G32" i="9"/>
  <c r="H32" i="9"/>
  <c r="I32" i="9"/>
  <c r="G33" i="9"/>
  <c r="H33" i="9"/>
  <c r="I33" i="9"/>
  <c r="G34" i="9"/>
  <c r="H34" i="9"/>
  <c r="I34" i="9"/>
  <c r="G35" i="9"/>
  <c r="H35" i="9"/>
  <c r="I35" i="9"/>
  <c r="G13" i="9"/>
  <c r="H13" i="9"/>
  <c r="I13" i="9"/>
  <c r="G39" i="9"/>
  <c r="H39" i="9"/>
  <c r="I39" i="9"/>
  <c r="G40" i="9"/>
  <c r="H40" i="9"/>
  <c r="I40" i="9"/>
  <c r="G41" i="9"/>
  <c r="H41" i="9"/>
  <c r="I41" i="9"/>
  <c r="G42" i="9"/>
  <c r="H42" i="9"/>
  <c r="I42" i="9"/>
  <c r="G43" i="9"/>
  <c r="H43" i="9"/>
  <c r="I43" i="9"/>
  <c r="I46" i="9"/>
  <c r="K18" i="13"/>
  <c r="K22" i="13"/>
  <c r="D10" i="2"/>
  <c r="C10" i="2"/>
  <c r="C9" i="2"/>
  <c r="D14" i="13"/>
  <c r="D26" i="13"/>
  <c r="M26" i="13"/>
  <c r="G30" i="11"/>
  <c r="H30" i="11"/>
  <c r="I30" i="11"/>
  <c r="G32" i="11"/>
  <c r="H32" i="11"/>
  <c r="I32" i="11"/>
  <c r="G40" i="11"/>
  <c r="H40" i="11"/>
  <c r="I40" i="11"/>
  <c r="G13" i="11"/>
  <c r="H13" i="11"/>
  <c r="I13" i="11"/>
  <c r="G14" i="11"/>
  <c r="H14" i="11"/>
  <c r="I14" i="11"/>
  <c r="G15" i="11"/>
  <c r="H15" i="11"/>
  <c r="I15" i="11"/>
  <c r="G16" i="11"/>
  <c r="H16" i="11"/>
  <c r="I16" i="11"/>
  <c r="G17" i="11"/>
  <c r="H17" i="11"/>
  <c r="I17" i="11"/>
  <c r="G18" i="11"/>
  <c r="H18" i="11"/>
  <c r="I18" i="11"/>
  <c r="G19" i="11"/>
  <c r="H19" i="11"/>
  <c r="I19" i="11"/>
  <c r="G20" i="11"/>
  <c r="H20" i="11"/>
  <c r="I20" i="11"/>
  <c r="G21" i="11"/>
  <c r="H21" i="11"/>
  <c r="I21" i="11"/>
  <c r="G22" i="11"/>
  <c r="H22" i="11"/>
  <c r="I22" i="11"/>
  <c r="G23" i="11"/>
  <c r="H23" i="11"/>
  <c r="I23" i="11"/>
  <c r="G24" i="11"/>
  <c r="H24" i="11"/>
  <c r="I24" i="11"/>
  <c r="G25" i="11"/>
  <c r="H25" i="11"/>
  <c r="I25" i="11"/>
  <c r="G26" i="11"/>
  <c r="H26" i="11"/>
  <c r="I26" i="11"/>
  <c r="G27" i="11"/>
  <c r="H27" i="11"/>
  <c r="I27" i="11"/>
  <c r="G28" i="11"/>
  <c r="H28" i="11"/>
  <c r="I28" i="11"/>
  <c r="G29" i="11"/>
  <c r="H29" i="11"/>
  <c r="I29" i="11"/>
  <c r="G31" i="11"/>
  <c r="H31" i="11"/>
  <c r="I31" i="11"/>
  <c r="G33" i="11"/>
  <c r="H33" i="11"/>
  <c r="I33" i="11"/>
  <c r="G34" i="11"/>
  <c r="H34" i="11"/>
  <c r="I34" i="11"/>
  <c r="G35" i="11"/>
  <c r="H35" i="11"/>
  <c r="I35" i="11"/>
  <c r="G36" i="11"/>
  <c r="H36" i="11"/>
  <c r="I36" i="11"/>
  <c r="G37" i="11"/>
  <c r="H37" i="11"/>
  <c r="I37" i="11"/>
  <c r="G38" i="11"/>
  <c r="H38" i="11"/>
  <c r="I38" i="11"/>
  <c r="G39" i="11"/>
  <c r="H39" i="11"/>
  <c r="I39" i="11"/>
  <c r="G41" i="11"/>
  <c r="H41" i="11"/>
  <c r="I41" i="11"/>
  <c r="G42" i="11"/>
  <c r="H42" i="11"/>
  <c r="I42" i="11"/>
  <c r="G43" i="11"/>
  <c r="I43" i="11"/>
  <c r="I46" i="11"/>
  <c r="M18" i="13"/>
  <c r="M22" i="13"/>
  <c r="C9" i="11"/>
  <c r="C9" i="9"/>
  <c r="C9" i="3"/>
  <c r="G20" i="2"/>
  <c r="H20" i="2"/>
  <c r="I20" i="2"/>
  <c r="G32" i="2"/>
  <c r="H32" i="2"/>
  <c r="I32" i="2"/>
  <c r="G39" i="2"/>
  <c r="H39" i="2"/>
  <c r="I39" i="2"/>
  <c r="G41" i="2"/>
  <c r="H41" i="2"/>
  <c r="I41" i="2"/>
  <c r="G13" i="2"/>
  <c r="H13" i="2"/>
  <c r="I13" i="2"/>
  <c r="G14" i="2"/>
  <c r="H14" i="2"/>
  <c r="I14" i="2"/>
  <c r="G15" i="2"/>
  <c r="H15" i="2"/>
  <c r="I15" i="2"/>
  <c r="G17" i="2"/>
  <c r="H17" i="2"/>
  <c r="I17" i="2"/>
  <c r="G18" i="2"/>
  <c r="H18" i="2"/>
  <c r="I18" i="2"/>
  <c r="G19" i="2"/>
  <c r="H19" i="2"/>
  <c r="I19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40" i="2"/>
  <c r="H40" i="2"/>
  <c r="I40" i="2"/>
  <c r="G42" i="2"/>
  <c r="H42" i="2"/>
  <c r="I42" i="2"/>
  <c r="G43" i="2"/>
  <c r="I43" i="2"/>
  <c r="I46" i="2"/>
  <c r="D18" i="13"/>
  <c r="D22" i="13"/>
  <c r="B9" i="2"/>
  <c r="G42" i="10"/>
  <c r="G41" i="10"/>
  <c r="G40" i="10"/>
  <c r="G38" i="10"/>
  <c r="G37" i="10"/>
  <c r="G36" i="10"/>
  <c r="G34" i="10"/>
  <c r="G33" i="10"/>
  <c r="G32" i="10"/>
  <c r="G30" i="10"/>
  <c r="G29" i="10"/>
  <c r="G28" i="10"/>
  <c r="G26" i="10"/>
  <c r="G25" i="10"/>
  <c r="G24" i="10"/>
  <c r="G22" i="10"/>
  <c r="G21" i="10"/>
  <c r="G20" i="10"/>
  <c r="G18" i="10"/>
  <c r="G17" i="10"/>
  <c r="G16" i="10"/>
  <c r="G14" i="10"/>
  <c r="G13" i="10"/>
  <c r="G42" i="8"/>
  <c r="G41" i="8"/>
  <c r="H41" i="8"/>
  <c r="I41" i="8"/>
  <c r="G40" i="8"/>
  <c r="G39" i="8"/>
  <c r="G38" i="8"/>
  <c r="G37" i="8"/>
  <c r="G36" i="8"/>
  <c r="G35" i="8"/>
  <c r="G34" i="8"/>
  <c r="G33" i="8"/>
  <c r="H33" i="8"/>
  <c r="I33" i="8"/>
  <c r="G32" i="8"/>
  <c r="G31" i="8"/>
  <c r="G30" i="8"/>
  <c r="G29" i="8"/>
  <c r="G28" i="8"/>
  <c r="G27" i="8"/>
  <c r="G26" i="8"/>
  <c r="G25" i="8"/>
  <c r="H25" i="8"/>
  <c r="I25" i="8"/>
  <c r="G24" i="8"/>
  <c r="G23" i="8"/>
  <c r="G22" i="8"/>
  <c r="G21" i="8"/>
  <c r="G20" i="8"/>
  <c r="G19" i="8"/>
  <c r="G18" i="8"/>
  <c r="G17" i="8"/>
  <c r="H17" i="8"/>
  <c r="I17" i="8"/>
  <c r="G16" i="8"/>
  <c r="G15" i="8"/>
  <c r="G14" i="8"/>
  <c r="G13" i="8"/>
  <c r="G46" i="8"/>
  <c r="G42" i="7"/>
  <c r="G37" i="7"/>
  <c r="G32" i="7"/>
  <c r="G26" i="7"/>
  <c r="G21" i="7"/>
  <c r="G16" i="7"/>
  <c r="G42" i="6"/>
  <c r="G41" i="6"/>
  <c r="G40" i="6"/>
  <c r="H40" i="6"/>
  <c r="I40" i="6"/>
  <c r="G38" i="6"/>
  <c r="H38" i="6"/>
  <c r="I38" i="6"/>
  <c r="G37" i="6"/>
  <c r="H37" i="6"/>
  <c r="I37" i="6"/>
  <c r="G35" i="6"/>
  <c r="G34" i="6"/>
  <c r="G33" i="6"/>
  <c r="G31" i="6"/>
  <c r="G30" i="6"/>
  <c r="G29" i="6"/>
  <c r="G27" i="6"/>
  <c r="H27" i="6"/>
  <c r="I27" i="6"/>
  <c r="G26" i="6"/>
  <c r="G25" i="6"/>
  <c r="G23" i="6"/>
  <c r="G22" i="6"/>
  <c r="H22" i="6"/>
  <c r="I22" i="6"/>
  <c r="G21" i="6"/>
  <c r="H21" i="6"/>
  <c r="I21" i="6"/>
  <c r="G20" i="6"/>
  <c r="G19" i="6"/>
  <c r="G18" i="6"/>
  <c r="G16" i="6"/>
  <c r="G15" i="6"/>
  <c r="H15" i="6"/>
  <c r="I15" i="6"/>
  <c r="G13" i="6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42" i="3"/>
  <c r="G40" i="3"/>
  <c r="G39" i="3"/>
  <c r="H39" i="3"/>
  <c r="I39" i="3"/>
  <c r="G36" i="3"/>
  <c r="G35" i="3"/>
  <c r="H35" i="3"/>
  <c r="I35" i="3"/>
  <c r="G34" i="3"/>
  <c r="H34" i="3"/>
  <c r="I34" i="3"/>
  <c r="G31" i="3"/>
  <c r="H31" i="3"/>
  <c r="I31" i="3"/>
  <c r="G30" i="3"/>
  <c r="G28" i="3"/>
  <c r="H28" i="3"/>
  <c r="I28" i="3"/>
  <c r="G26" i="3"/>
  <c r="G24" i="3"/>
  <c r="G23" i="3"/>
  <c r="H23" i="3"/>
  <c r="I23" i="3"/>
  <c r="G20" i="3"/>
  <c r="G19" i="3"/>
  <c r="H19" i="3"/>
  <c r="I19" i="3"/>
  <c r="G18" i="3"/>
  <c r="H18" i="3"/>
  <c r="I18" i="3"/>
  <c r="G15" i="3"/>
  <c r="H15" i="3"/>
  <c r="I15" i="3"/>
  <c r="G14" i="3"/>
  <c r="G14" i="5"/>
  <c r="G16" i="5"/>
  <c r="G17" i="5"/>
  <c r="G20" i="5"/>
  <c r="H20" i="5"/>
  <c r="I20" i="5"/>
  <c r="G21" i="5"/>
  <c r="G22" i="5"/>
  <c r="G25" i="5"/>
  <c r="H25" i="5"/>
  <c r="I25" i="5"/>
  <c r="G26" i="5"/>
  <c r="G28" i="5"/>
  <c r="G30" i="5"/>
  <c r="G32" i="5"/>
  <c r="G33" i="5"/>
  <c r="H33" i="5"/>
  <c r="I33" i="5"/>
  <c r="G36" i="5"/>
  <c r="H36" i="5"/>
  <c r="I36" i="5"/>
  <c r="G37" i="5"/>
  <c r="G38" i="5"/>
  <c r="G41" i="5"/>
  <c r="G42" i="5"/>
  <c r="H41" i="10"/>
  <c r="I41" i="10"/>
  <c r="H37" i="10"/>
  <c r="I37" i="10"/>
  <c r="H33" i="10"/>
  <c r="H29" i="10"/>
  <c r="I29" i="10"/>
  <c r="H25" i="10"/>
  <c r="I25" i="10"/>
  <c r="H23" i="10"/>
  <c r="H22" i="10"/>
  <c r="H20" i="10"/>
  <c r="I20" i="10"/>
  <c r="H17" i="10"/>
  <c r="H15" i="10"/>
  <c r="H14" i="10"/>
  <c r="I14" i="10"/>
  <c r="H43" i="4"/>
  <c r="I43" i="4"/>
  <c r="H40" i="4"/>
  <c r="I40" i="4"/>
  <c r="H38" i="4"/>
  <c r="I38" i="4"/>
  <c r="H34" i="4"/>
  <c r="I34" i="4"/>
  <c r="H31" i="4"/>
  <c r="I31" i="4"/>
  <c r="H25" i="4"/>
  <c r="I25" i="4"/>
  <c r="H22" i="4"/>
  <c r="I22" i="4"/>
  <c r="H16" i="4"/>
  <c r="I16" i="4"/>
  <c r="H13" i="4"/>
  <c r="H42" i="3"/>
  <c r="I42" i="3"/>
  <c r="H41" i="3"/>
  <c r="H40" i="3"/>
  <c r="I40" i="3"/>
  <c r="H38" i="3"/>
  <c r="H37" i="3"/>
  <c r="H36" i="3"/>
  <c r="I36" i="3"/>
  <c r="H33" i="3"/>
  <c r="H32" i="3"/>
  <c r="H30" i="3"/>
  <c r="I30" i="3"/>
  <c r="H29" i="3"/>
  <c r="H27" i="3"/>
  <c r="H26" i="3"/>
  <c r="I26" i="3"/>
  <c r="H25" i="3"/>
  <c r="H24" i="3"/>
  <c r="I24" i="3"/>
  <c r="H22" i="3"/>
  <c r="H21" i="3"/>
  <c r="H20" i="3"/>
  <c r="I20" i="3"/>
  <c r="H17" i="3"/>
  <c r="H16" i="3"/>
  <c r="H14" i="3"/>
  <c r="H13" i="3"/>
  <c r="H46" i="3"/>
  <c r="I14" i="3"/>
  <c r="H46" i="2"/>
  <c r="H13" i="5"/>
  <c r="H14" i="5"/>
  <c r="I14" i="5"/>
  <c r="H15" i="5"/>
  <c r="H16" i="5"/>
  <c r="H17" i="5"/>
  <c r="H18" i="5"/>
  <c r="H19" i="5"/>
  <c r="H21" i="5"/>
  <c r="H22" i="5"/>
  <c r="I22" i="5"/>
  <c r="H23" i="5"/>
  <c r="H24" i="5"/>
  <c r="H26" i="5"/>
  <c r="H27" i="5"/>
  <c r="H28" i="5"/>
  <c r="I28" i="5"/>
  <c r="H29" i="5"/>
  <c r="H30" i="5"/>
  <c r="I30" i="5"/>
  <c r="H31" i="5"/>
  <c r="H32" i="5"/>
  <c r="I32" i="5"/>
  <c r="H34" i="5"/>
  <c r="H35" i="5"/>
  <c r="H37" i="5"/>
  <c r="H38" i="5"/>
  <c r="I38" i="5"/>
  <c r="H39" i="5"/>
  <c r="H40" i="5"/>
  <c r="H41" i="5"/>
  <c r="H42" i="5"/>
  <c r="H13" i="6"/>
  <c r="H14" i="6"/>
  <c r="H16" i="6"/>
  <c r="I16" i="6"/>
  <c r="H17" i="6"/>
  <c r="H18" i="6"/>
  <c r="H19" i="6"/>
  <c r="I19" i="6"/>
  <c r="H20" i="6"/>
  <c r="I20" i="6"/>
  <c r="H23" i="6"/>
  <c r="I23" i="6"/>
  <c r="H24" i="6"/>
  <c r="H25" i="6"/>
  <c r="I25" i="6"/>
  <c r="H26" i="6"/>
  <c r="I26" i="6"/>
  <c r="H28" i="6"/>
  <c r="H29" i="6"/>
  <c r="H30" i="6"/>
  <c r="I30" i="6"/>
  <c r="H31" i="6"/>
  <c r="I31" i="6"/>
  <c r="H32" i="6"/>
  <c r="H33" i="6"/>
  <c r="H34" i="6"/>
  <c r="I34" i="6"/>
  <c r="H35" i="6"/>
  <c r="I35" i="6"/>
  <c r="H36" i="6"/>
  <c r="H39" i="6"/>
  <c r="H41" i="6"/>
  <c r="I41" i="6"/>
  <c r="H42" i="6"/>
  <c r="I42" i="6"/>
  <c r="H13" i="7"/>
  <c r="H14" i="7"/>
  <c r="H23" i="7"/>
  <c r="H32" i="7"/>
  <c r="H33" i="7"/>
  <c r="H42" i="7"/>
  <c r="H13" i="8"/>
  <c r="I13" i="8"/>
  <c r="H14" i="8"/>
  <c r="I14" i="8"/>
  <c r="I15" i="8"/>
  <c r="H16" i="8"/>
  <c r="I16" i="8"/>
  <c r="H18" i="8"/>
  <c r="I18" i="8"/>
  <c r="H19" i="8"/>
  <c r="I19" i="8"/>
  <c r="H20" i="8"/>
  <c r="I20" i="8"/>
  <c r="H21" i="8"/>
  <c r="I21" i="8"/>
  <c r="H22" i="8"/>
  <c r="H23" i="8"/>
  <c r="I23" i="8"/>
  <c r="H24" i="8"/>
  <c r="I24" i="8"/>
  <c r="H26" i="8"/>
  <c r="I26" i="8"/>
  <c r="H27" i="8"/>
  <c r="I27" i="8"/>
  <c r="H28" i="8"/>
  <c r="I28" i="8"/>
  <c r="H29" i="8"/>
  <c r="I29" i="8"/>
  <c r="H30" i="8"/>
  <c r="H31" i="8"/>
  <c r="I31" i="8"/>
  <c r="H32" i="8"/>
  <c r="I32" i="8"/>
  <c r="H34" i="8"/>
  <c r="I34" i="8"/>
  <c r="H35" i="8"/>
  <c r="I35" i="8"/>
  <c r="H36" i="8"/>
  <c r="I36" i="8"/>
  <c r="H37" i="8"/>
  <c r="I37" i="8"/>
  <c r="H38" i="8"/>
  <c r="H39" i="8"/>
  <c r="I39" i="8"/>
  <c r="H40" i="8"/>
  <c r="I40" i="8"/>
  <c r="H42" i="8"/>
  <c r="I42" i="8"/>
  <c r="D46" i="1"/>
  <c r="D10" i="5"/>
  <c r="G14" i="13"/>
  <c r="J50" i="1"/>
  <c r="C30" i="13"/>
  <c r="O30" i="13"/>
  <c r="D10" i="7"/>
  <c r="I14" i="13"/>
  <c r="D10" i="1"/>
  <c r="C14" i="13"/>
  <c r="I41" i="5"/>
  <c r="G46" i="4"/>
  <c r="K26" i="13"/>
  <c r="I42" i="1"/>
  <c r="I34" i="1"/>
  <c r="I26" i="1"/>
  <c r="M12" i="13"/>
  <c r="D46" i="10"/>
  <c r="E14" i="13"/>
  <c r="D46" i="6"/>
  <c r="B10" i="7"/>
  <c r="I12" i="13"/>
  <c r="D13" i="13"/>
  <c r="N13" i="13"/>
  <c r="O13" i="13"/>
  <c r="D46" i="8"/>
  <c r="E12" i="13"/>
  <c r="O12" i="13"/>
  <c r="D10" i="14"/>
  <c r="N14" i="13"/>
  <c r="C10" i="14"/>
  <c r="D46" i="4"/>
  <c r="G17" i="1"/>
  <c r="I17" i="1"/>
  <c r="G15" i="1"/>
  <c r="I15" i="1"/>
  <c r="D10" i="10"/>
  <c r="L14" i="13"/>
  <c r="G37" i="1"/>
  <c r="I37" i="1"/>
  <c r="G41" i="1"/>
  <c r="I41" i="1"/>
  <c r="G13" i="1"/>
  <c r="I13" i="1"/>
  <c r="G14" i="1"/>
  <c r="I14" i="1"/>
  <c r="G16" i="1"/>
  <c r="I16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5" i="1"/>
  <c r="I35" i="1"/>
  <c r="G36" i="1"/>
  <c r="I36" i="1"/>
  <c r="G38" i="1"/>
  <c r="I38" i="1"/>
  <c r="G39" i="1"/>
  <c r="I39" i="1"/>
  <c r="G40" i="1"/>
  <c r="I40" i="1"/>
  <c r="G43" i="1"/>
  <c r="I43" i="1"/>
  <c r="I46" i="1"/>
  <c r="C18" i="13"/>
  <c r="C22" i="13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6" i="1"/>
  <c r="C26" i="13"/>
  <c r="B9" i="14"/>
  <c r="C9" i="14"/>
  <c r="G16" i="3"/>
  <c r="I16" i="3"/>
  <c r="G13" i="3"/>
  <c r="I13" i="3"/>
  <c r="G17" i="3"/>
  <c r="I17" i="3"/>
  <c r="G21" i="3"/>
  <c r="I21" i="3"/>
  <c r="G22" i="3"/>
  <c r="I22" i="3"/>
  <c r="G25" i="3"/>
  <c r="I25" i="3"/>
  <c r="G27" i="3"/>
  <c r="I27" i="3"/>
  <c r="G29" i="3"/>
  <c r="I29" i="3"/>
  <c r="G32" i="3"/>
  <c r="I32" i="3"/>
  <c r="G33" i="3"/>
  <c r="I33" i="3"/>
  <c r="G37" i="3"/>
  <c r="I37" i="3"/>
  <c r="G38" i="3"/>
  <c r="I38" i="3"/>
  <c r="G41" i="3"/>
  <c r="I41" i="3"/>
  <c r="I46" i="3"/>
  <c r="E18" i="13"/>
  <c r="E22" i="13"/>
  <c r="E26" i="13"/>
  <c r="B9" i="1"/>
  <c r="C9" i="1"/>
  <c r="G18" i="5"/>
  <c r="I18" i="5"/>
  <c r="I26" i="5"/>
  <c r="G29" i="5"/>
  <c r="I29" i="5"/>
  <c r="G40" i="5"/>
  <c r="I40" i="5"/>
  <c r="I13" i="5"/>
  <c r="G15" i="5"/>
  <c r="I15" i="5"/>
  <c r="I16" i="5"/>
  <c r="I17" i="5"/>
  <c r="G19" i="5"/>
  <c r="I19" i="5"/>
  <c r="I21" i="5"/>
  <c r="G23" i="5"/>
  <c r="I23" i="5"/>
  <c r="G24" i="5"/>
  <c r="I24" i="5"/>
  <c r="G27" i="5"/>
  <c r="I27" i="5"/>
  <c r="G31" i="5"/>
  <c r="I31" i="5"/>
  <c r="G34" i="5"/>
  <c r="I34" i="5"/>
  <c r="G35" i="5"/>
  <c r="I35" i="5"/>
  <c r="I37" i="5"/>
  <c r="G39" i="5"/>
  <c r="I39" i="5"/>
  <c r="I42" i="5"/>
  <c r="G43" i="5"/>
  <c r="I43" i="5"/>
  <c r="I46" i="5"/>
  <c r="G18" i="13"/>
  <c r="G22" i="13"/>
  <c r="G26" i="13"/>
  <c r="D10" i="4"/>
  <c r="F14" i="13"/>
  <c r="H14" i="13"/>
  <c r="D10" i="6"/>
  <c r="B9" i="7"/>
  <c r="C9" i="7"/>
  <c r="N26" i="13"/>
  <c r="N22" i="13"/>
  <c r="D10" i="8"/>
  <c r="J14" i="13"/>
  <c r="I26" i="13"/>
  <c r="H16" i="7"/>
  <c r="I16" i="7"/>
  <c r="G28" i="7"/>
  <c r="H28" i="7"/>
  <c r="I28" i="7"/>
  <c r="G13" i="7"/>
  <c r="I13" i="7"/>
  <c r="G14" i="7"/>
  <c r="I14" i="7"/>
  <c r="G15" i="7"/>
  <c r="H15" i="7"/>
  <c r="I15" i="7"/>
  <c r="G17" i="7"/>
  <c r="H17" i="7"/>
  <c r="I17" i="7"/>
  <c r="G18" i="7"/>
  <c r="H18" i="7"/>
  <c r="I18" i="7"/>
  <c r="G19" i="7"/>
  <c r="H19" i="7"/>
  <c r="I19" i="7"/>
  <c r="G20" i="7"/>
  <c r="H20" i="7"/>
  <c r="I20" i="7"/>
  <c r="H21" i="7"/>
  <c r="I21" i="7"/>
  <c r="G22" i="7"/>
  <c r="H22" i="7"/>
  <c r="I22" i="7"/>
  <c r="G23" i="7"/>
  <c r="I23" i="7"/>
  <c r="G24" i="7"/>
  <c r="H24" i="7"/>
  <c r="I24" i="7"/>
  <c r="G25" i="7"/>
  <c r="H25" i="7"/>
  <c r="I25" i="7"/>
  <c r="H26" i="7"/>
  <c r="I26" i="7"/>
  <c r="G27" i="7"/>
  <c r="H27" i="7"/>
  <c r="I27" i="7"/>
  <c r="G29" i="7"/>
  <c r="H29" i="7"/>
  <c r="I29" i="7"/>
  <c r="G30" i="7"/>
  <c r="H30" i="7"/>
  <c r="I30" i="7"/>
  <c r="G31" i="7"/>
  <c r="H31" i="7"/>
  <c r="I31" i="7"/>
  <c r="I32" i="7"/>
  <c r="G33" i="7"/>
  <c r="I33" i="7"/>
  <c r="G34" i="7"/>
  <c r="H34" i="7"/>
  <c r="I34" i="7"/>
  <c r="G35" i="7"/>
  <c r="H35" i="7"/>
  <c r="I35" i="7"/>
  <c r="G36" i="7"/>
  <c r="H36" i="7"/>
  <c r="I36" i="7"/>
  <c r="H37" i="7"/>
  <c r="I37" i="7"/>
  <c r="G38" i="7"/>
  <c r="H38" i="7"/>
  <c r="I38" i="7"/>
  <c r="G39" i="7"/>
  <c r="H39" i="7"/>
  <c r="I39" i="7"/>
  <c r="G40" i="7"/>
  <c r="H40" i="7"/>
  <c r="I40" i="7"/>
  <c r="G41" i="7"/>
  <c r="H41" i="7"/>
  <c r="I41" i="7"/>
  <c r="I42" i="7"/>
  <c r="G43" i="7"/>
  <c r="H43" i="7"/>
  <c r="I43" i="7"/>
  <c r="I46" i="7"/>
  <c r="I18" i="13"/>
  <c r="I22" i="13"/>
  <c r="B9" i="5"/>
  <c r="C9" i="5"/>
  <c r="J26" i="13"/>
  <c r="I22" i="8"/>
  <c r="I30" i="8"/>
  <c r="I38" i="8"/>
  <c r="I46" i="8"/>
  <c r="J18" i="13"/>
  <c r="J22" i="13"/>
  <c r="F26" i="13"/>
  <c r="H15" i="4"/>
  <c r="I15" i="4"/>
  <c r="H17" i="4"/>
  <c r="I17" i="4"/>
  <c r="H23" i="4"/>
  <c r="I23" i="4"/>
  <c r="H37" i="4"/>
  <c r="I37" i="4"/>
  <c r="H41" i="4"/>
  <c r="I41" i="4"/>
  <c r="H42" i="4"/>
  <c r="I42" i="4"/>
  <c r="I13" i="4"/>
  <c r="H14" i="4"/>
  <c r="I14" i="4"/>
  <c r="H18" i="4"/>
  <c r="I18" i="4"/>
  <c r="H19" i="4"/>
  <c r="I19" i="4"/>
  <c r="H20" i="4"/>
  <c r="I20" i="4"/>
  <c r="H21" i="4"/>
  <c r="I21" i="4"/>
  <c r="H24" i="4"/>
  <c r="I24" i="4"/>
  <c r="H26" i="4"/>
  <c r="I26" i="4"/>
  <c r="H27" i="4"/>
  <c r="I27" i="4"/>
  <c r="H28" i="4"/>
  <c r="I28" i="4"/>
  <c r="H29" i="4"/>
  <c r="I29" i="4"/>
  <c r="H30" i="4"/>
  <c r="I30" i="4"/>
  <c r="H32" i="4"/>
  <c r="I32" i="4"/>
  <c r="H33" i="4"/>
  <c r="I33" i="4"/>
  <c r="H35" i="4"/>
  <c r="I35" i="4"/>
  <c r="H36" i="4"/>
  <c r="I36" i="4"/>
  <c r="H39" i="4"/>
  <c r="I39" i="4"/>
  <c r="I46" i="4"/>
  <c r="F18" i="13"/>
  <c r="F22" i="13"/>
  <c r="B9" i="10"/>
  <c r="C9" i="10"/>
  <c r="B9" i="8"/>
  <c r="C9" i="8"/>
  <c r="B9" i="4"/>
  <c r="C9" i="4"/>
  <c r="O14" i="13"/>
  <c r="B9" i="6"/>
  <c r="C9" i="6"/>
  <c r="H26" i="13"/>
  <c r="G17" i="6"/>
  <c r="I17" i="6"/>
  <c r="I33" i="6"/>
  <c r="I13" i="6"/>
  <c r="G14" i="6"/>
  <c r="I14" i="6"/>
  <c r="I18" i="6"/>
  <c r="G24" i="6"/>
  <c r="I24" i="6"/>
  <c r="G28" i="6"/>
  <c r="I28" i="6"/>
  <c r="I29" i="6"/>
  <c r="G32" i="6"/>
  <c r="I32" i="6"/>
  <c r="G36" i="6"/>
  <c r="I36" i="6"/>
  <c r="G39" i="6"/>
  <c r="I39" i="6"/>
  <c r="G43" i="6"/>
  <c r="I43" i="6"/>
  <c r="I46" i="6"/>
  <c r="H18" i="13"/>
  <c r="H22" i="13"/>
  <c r="L26" i="13"/>
  <c r="G15" i="10"/>
  <c r="I15" i="10"/>
  <c r="G27" i="10"/>
  <c r="H27" i="10"/>
  <c r="I27" i="10"/>
  <c r="H28" i="10"/>
  <c r="I28" i="10"/>
  <c r="G35" i="10"/>
  <c r="H35" i="10"/>
  <c r="I35" i="10"/>
  <c r="H36" i="10"/>
  <c r="I36" i="10"/>
  <c r="H43" i="10"/>
  <c r="I43" i="10"/>
  <c r="H16" i="10"/>
  <c r="I16" i="10"/>
  <c r="I17" i="10"/>
  <c r="H18" i="10"/>
  <c r="I18" i="10"/>
  <c r="G19" i="10"/>
  <c r="H19" i="10"/>
  <c r="I19" i="10"/>
  <c r="H21" i="10"/>
  <c r="I21" i="10"/>
  <c r="I22" i="10"/>
  <c r="G23" i="10"/>
  <c r="I23" i="10"/>
  <c r="H24" i="10"/>
  <c r="I24" i="10"/>
  <c r="H26" i="10"/>
  <c r="I26" i="10"/>
  <c r="H30" i="10"/>
  <c r="I30" i="10"/>
  <c r="G31" i="10"/>
  <c r="H31" i="10"/>
  <c r="I31" i="10"/>
  <c r="H32" i="10"/>
  <c r="I32" i="10"/>
  <c r="I33" i="10"/>
  <c r="H34" i="10"/>
  <c r="I34" i="10"/>
  <c r="H38" i="10"/>
  <c r="I38" i="10"/>
  <c r="G39" i="10"/>
  <c r="H39" i="10"/>
  <c r="I39" i="10"/>
  <c r="H40" i="10"/>
  <c r="I40" i="10"/>
  <c r="H42" i="10"/>
  <c r="I42" i="10"/>
  <c r="H13" i="10"/>
  <c r="I13" i="10"/>
  <c r="I46" i="10"/>
  <c r="L18" i="13"/>
  <c r="L22" i="13"/>
  <c r="H9" i="13"/>
  <c r="O18" i="13"/>
  <c r="O22" i="13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6" i="1"/>
  <c r="I32" i="14"/>
  <c r="I16" i="14"/>
  <c r="G46" i="6"/>
  <c r="G46" i="7"/>
  <c r="G41" i="14"/>
  <c r="I38" i="14"/>
  <c r="G36" i="14"/>
  <c r="I36" i="14"/>
  <c r="G33" i="14"/>
  <c r="I30" i="14"/>
  <c r="G28" i="14"/>
  <c r="I28" i="14"/>
  <c r="G25" i="14"/>
  <c r="I22" i="14"/>
  <c r="G20" i="14"/>
  <c r="I14" i="14"/>
  <c r="I43" i="14"/>
  <c r="H46" i="9"/>
  <c r="H46" i="1"/>
  <c r="H50" i="1"/>
  <c r="I13" i="14"/>
  <c r="H46" i="5"/>
  <c r="H46" i="8"/>
  <c r="H46" i="6"/>
  <c r="H41" i="14"/>
  <c r="I41" i="14"/>
  <c r="H39" i="14"/>
  <c r="I39" i="14"/>
  <c r="H37" i="14"/>
  <c r="I37" i="14"/>
  <c r="H35" i="14"/>
  <c r="I35" i="14"/>
  <c r="H33" i="14"/>
  <c r="I33" i="14"/>
  <c r="H31" i="14"/>
  <c r="I31" i="14"/>
  <c r="H29" i="14"/>
  <c r="I29" i="14"/>
  <c r="H27" i="14"/>
  <c r="I27" i="14"/>
  <c r="H25" i="14"/>
  <c r="H23" i="14"/>
  <c r="I23" i="14"/>
  <c r="H21" i="14"/>
  <c r="I21" i="14"/>
  <c r="H19" i="14"/>
  <c r="I19" i="14"/>
  <c r="H17" i="14"/>
  <c r="I17" i="14"/>
  <c r="H15" i="14"/>
  <c r="I15" i="14"/>
  <c r="F46" i="1"/>
  <c r="F7" i="1"/>
  <c r="G46" i="9"/>
  <c r="L7" i="1"/>
  <c r="G46" i="1"/>
  <c r="G50" i="1"/>
  <c r="G46" i="10"/>
  <c r="I25" i="14"/>
  <c r="I20" i="14"/>
  <c r="G46" i="14"/>
  <c r="G46" i="3"/>
  <c r="G46" i="5"/>
  <c r="G46" i="2"/>
  <c r="G46" i="11"/>
  <c r="H46" i="4"/>
  <c r="H46" i="14"/>
  <c r="H46" i="7"/>
  <c r="H46" i="11"/>
  <c r="H46" i="10"/>
  <c r="I46" i="14"/>
  <c r="I10" i="1"/>
  <c r="E7" i="2"/>
  <c r="L8" i="1"/>
  <c r="K8" i="2"/>
  <c r="K7" i="2"/>
  <c r="E50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6" i="2"/>
  <c r="L7" i="2"/>
  <c r="I7" i="1"/>
  <c r="H7" i="1"/>
  <c r="I7" i="2"/>
  <c r="H7" i="2"/>
  <c r="K7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6" i="3"/>
  <c r="L7" i="3"/>
  <c r="I50" i="1"/>
  <c r="C19" i="13"/>
  <c r="E46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L8" i="2"/>
  <c r="K8" i="3"/>
  <c r="E50" i="3"/>
  <c r="I50" i="3"/>
  <c r="E19" i="13"/>
  <c r="G50" i="3"/>
  <c r="H50" i="3"/>
  <c r="K7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6" i="4"/>
  <c r="L7" i="4"/>
  <c r="I7" i="3"/>
  <c r="H7" i="3"/>
  <c r="G50" i="2"/>
  <c r="H50" i="2"/>
  <c r="I50" i="2"/>
  <c r="D19" i="13"/>
  <c r="F7" i="2"/>
  <c r="F46" i="2"/>
  <c r="L8" i="3"/>
  <c r="K8" i="4"/>
  <c r="E50" i="4"/>
  <c r="L8" i="4"/>
  <c r="K8" i="5"/>
  <c r="K7" i="5"/>
  <c r="E50" i="5"/>
  <c r="I7" i="4"/>
  <c r="H7" i="4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6" i="5"/>
  <c r="L7" i="5"/>
  <c r="G50" i="4"/>
  <c r="I50" i="4"/>
  <c r="F19" i="13"/>
  <c r="H50" i="4"/>
  <c r="E7" i="3"/>
  <c r="I10" i="2"/>
  <c r="G50" i="5"/>
  <c r="I50" i="5"/>
  <c r="G19" i="13"/>
  <c r="H50" i="5"/>
  <c r="K7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6" i="6"/>
  <c r="L7" i="6"/>
  <c r="I7" i="5"/>
  <c r="H7" i="5"/>
  <c r="L8" i="5"/>
  <c r="K8" i="6"/>
  <c r="E50" i="6"/>
  <c r="E46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G50" i="6"/>
  <c r="H50" i="6"/>
  <c r="I50" i="6"/>
  <c r="H19" i="13"/>
  <c r="K7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6" i="7"/>
  <c r="L7" i="7"/>
  <c r="L8" i="6"/>
  <c r="K8" i="7"/>
  <c r="E50" i="7"/>
  <c r="I7" i="6"/>
  <c r="H7" i="6"/>
  <c r="F46" i="3"/>
  <c r="F7" i="3"/>
  <c r="G50" i="7"/>
  <c r="H50" i="7"/>
  <c r="I50" i="7"/>
  <c r="I19" i="13"/>
  <c r="K7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6" i="8"/>
  <c r="L7" i="8"/>
  <c r="L8" i="7"/>
  <c r="K8" i="8"/>
  <c r="E50" i="8"/>
  <c r="I7" i="7"/>
  <c r="H7" i="7"/>
  <c r="E7" i="4"/>
  <c r="I10" i="3"/>
  <c r="L8" i="8"/>
  <c r="K8" i="9"/>
  <c r="I7" i="8"/>
  <c r="H7" i="8"/>
  <c r="K7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6" i="9"/>
  <c r="L7" i="9"/>
  <c r="G50" i="8"/>
  <c r="H50" i="8"/>
  <c r="I50" i="8"/>
  <c r="J19" i="13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6" i="4"/>
  <c r="E50" i="9"/>
  <c r="L8" i="9"/>
  <c r="K8" i="10"/>
  <c r="K7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6" i="10"/>
  <c r="L7" i="10"/>
  <c r="I7" i="9"/>
  <c r="H7" i="9"/>
  <c r="G50" i="9"/>
  <c r="I50" i="9"/>
  <c r="K19" i="13"/>
  <c r="H50" i="9"/>
  <c r="F7" i="4"/>
  <c r="F46" i="4"/>
  <c r="K7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6" i="11"/>
  <c r="L7" i="11"/>
  <c r="I7" i="10"/>
  <c r="H7" i="10"/>
  <c r="E50" i="10"/>
  <c r="L8" i="10"/>
  <c r="K8" i="11"/>
  <c r="E50" i="11"/>
  <c r="I10" i="4"/>
  <c r="E7" i="5"/>
  <c r="K7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6" i="14"/>
  <c r="L7" i="14"/>
  <c r="L8" i="11"/>
  <c r="K8" i="14"/>
  <c r="I7" i="11"/>
  <c r="H7" i="11"/>
  <c r="G50" i="10"/>
  <c r="I50" i="10"/>
  <c r="L19" i="13"/>
  <c r="H50" i="10"/>
  <c r="G50" i="11"/>
  <c r="H50" i="11"/>
  <c r="I50" i="11"/>
  <c r="M19" i="13"/>
  <c r="O19" i="13"/>
  <c r="M9" i="13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6" i="5"/>
  <c r="E50" i="14"/>
  <c r="O26" i="13"/>
  <c r="M8" i="13"/>
  <c r="I7" i="14"/>
  <c r="H7" i="14"/>
  <c r="F46" i="5"/>
  <c r="F7" i="5"/>
  <c r="G50" i="14"/>
  <c r="I50" i="14"/>
  <c r="H50" i="14"/>
  <c r="L8" i="14"/>
  <c r="E7" i="6"/>
  <c r="I10" i="5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6" i="6"/>
  <c r="F46" i="6"/>
  <c r="F7" i="6"/>
  <c r="E7" i="7"/>
  <c r="I10" i="6"/>
  <c r="E46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F7" i="7"/>
  <c r="F46" i="7"/>
  <c r="I10" i="7"/>
  <c r="E7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6" i="8"/>
  <c r="F46" i="8"/>
  <c r="F7" i="8"/>
  <c r="I10" i="8"/>
  <c r="E7" i="9"/>
  <c r="E46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F7" i="9"/>
  <c r="F46" i="9"/>
  <c r="I10" i="9"/>
  <c r="E7" i="10"/>
  <c r="E46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F46" i="10"/>
  <c r="F7" i="10"/>
  <c r="I10" i="10"/>
  <c r="E7" i="11"/>
  <c r="E46" i="11"/>
  <c r="E13" i="11"/>
  <c r="F13" i="11"/>
  <c r="E14" i="11"/>
  <c r="F14" i="11"/>
  <c r="E15" i="11"/>
  <c r="F15" i="11"/>
  <c r="E16" i="11"/>
  <c r="F16" i="11"/>
  <c r="E17" i="11"/>
  <c r="F17" i="11"/>
  <c r="E18" i="11"/>
  <c r="F18" i="11"/>
  <c r="E19" i="11"/>
  <c r="F19" i="11"/>
  <c r="E20" i="11"/>
  <c r="F20" i="11"/>
  <c r="E21" i="11"/>
  <c r="F21" i="11"/>
  <c r="E22" i="11"/>
  <c r="F22" i="11"/>
  <c r="E23" i="11"/>
  <c r="F23" i="11"/>
  <c r="E24" i="11"/>
  <c r="F24" i="11"/>
  <c r="E25" i="11"/>
  <c r="F25" i="11"/>
  <c r="E26" i="11"/>
  <c r="F26" i="11"/>
  <c r="E27" i="11"/>
  <c r="F27" i="11"/>
  <c r="E28" i="11"/>
  <c r="F28" i="11"/>
  <c r="E29" i="11"/>
  <c r="F29" i="11"/>
  <c r="E30" i="11"/>
  <c r="F30" i="11"/>
  <c r="E31" i="11"/>
  <c r="F31" i="11"/>
  <c r="E32" i="11"/>
  <c r="F32" i="11"/>
  <c r="E33" i="11"/>
  <c r="F33" i="11"/>
  <c r="E34" i="11"/>
  <c r="F34" i="11"/>
  <c r="E35" i="11"/>
  <c r="F35" i="11"/>
  <c r="E36" i="11"/>
  <c r="F36" i="11"/>
  <c r="E37" i="11"/>
  <c r="F37" i="11"/>
  <c r="E38" i="11"/>
  <c r="F38" i="11"/>
  <c r="E39" i="11"/>
  <c r="F39" i="11"/>
  <c r="E40" i="11"/>
  <c r="F40" i="11"/>
  <c r="E41" i="11"/>
  <c r="F41" i="11"/>
  <c r="E42" i="11"/>
  <c r="F42" i="11"/>
  <c r="E43" i="11"/>
  <c r="F43" i="11"/>
  <c r="F46" i="11"/>
  <c r="F7" i="11"/>
  <c r="I10" i="11"/>
  <c r="E7" i="14"/>
  <c r="E13" i="14"/>
  <c r="F13" i="14"/>
  <c r="E14" i="14"/>
  <c r="F14" i="14"/>
  <c r="E15" i="14"/>
  <c r="F15" i="14"/>
  <c r="E16" i="14"/>
  <c r="F16" i="14"/>
  <c r="E17" i="14"/>
  <c r="F17" i="14"/>
  <c r="E18" i="14"/>
  <c r="F18" i="14"/>
  <c r="E19" i="14"/>
  <c r="F19" i="14"/>
  <c r="E20" i="14"/>
  <c r="F20" i="14"/>
  <c r="E21" i="14"/>
  <c r="F21" i="14"/>
  <c r="E22" i="14"/>
  <c r="F22" i="14"/>
  <c r="E23" i="14"/>
  <c r="F23" i="14"/>
  <c r="E24" i="14"/>
  <c r="F24" i="14"/>
  <c r="E25" i="14"/>
  <c r="F25" i="14"/>
  <c r="E26" i="14"/>
  <c r="F26" i="14"/>
  <c r="E27" i="14"/>
  <c r="F27" i="14"/>
  <c r="E28" i="14"/>
  <c r="F28" i="14"/>
  <c r="E29" i="14"/>
  <c r="F29" i="14"/>
  <c r="E30" i="14"/>
  <c r="F30" i="14"/>
  <c r="E31" i="14"/>
  <c r="F31" i="14"/>
  <c r="E32" i="14"/>
  <c r="F32" i="14"/>
  <c r="E33" i="14"/>
  <c r="F33" i="14"/>
  <c r="E34" i="14"/>
  <c r="F34" i="14"/>
  <c r="E35" i="14"/>
  <c r="F35" i="14"/>
  <c r="E36" i="14"/>
  <c r="F36" i="14"/>
  <c r="E37" i="14"/>
  <c r="F37" i="14"/>
  <c r="E38" i="14"/>
  <c r="F38" i="14"/>
  <c r="E39" i="14"/>
  <c r="F39" i="14"/>
  <c r="E40" i="14"/>
  <c r="F40" i="14"/>
  <c r="E41" i="14"/>
  <c r="F41" i="14"/>
  <c r="E42" i="14"/>
  <c r="F42" i="14"/>
  <c r="E43" i="14"/>
  <c r="F43" i="14"/>
  <c r="E46" i="14"/>
  <c r="F46" i="14"/>
  <c r="F7" i="14"/>
  <c r="I1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Macháček Peter</author>
  </authors>
  <commentList>
    <comment ref="C43" authorId="0" shapeId="0" xr:uid="{F89584A5-58FA-4E03-AA73-E992C342A271}">
      <text>
        <r>
          <rPr>
            <b/>
            <sz val="8"/>
            <color indexed="81"/>
            <rFont val="Tahoma"/>
            <family val="2"/>
            <charset val="238"/>
          </rPr>
          <t>štandardne 2x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C49" authorId="0" shapeId="0" xr:uid="{97173C5E-764D-4578-86A8-226EEABD24BE}">
      <text>
        <r>
          <rPr>
            <b/>
            <sz val="8"/>
            <color indexed="81"/>
            <rFont val="Tahoma"/>
            <family val="2"/>
            <charset val="238"/>
          </rPr>
          <t>sada má býť úplná
ak niečo chýba treba doobjednať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C50" authorId="0" shapeId="0" xr:uid="{8EA15C07-0165-411B-B64B-282BDEF434EA}">
      <text>
        <r>
          <rPr>
            <b/>
            <sz val="8"/>
            <color indexed="81"/>
            <rFont val="Tahoma"/>
            <family val="2"/>
            <charset val="238"/>
          </rPr>
          <t>majú byť 2 ks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<sst xmlns="http://schemas.openxmlformats.org/spreadsheetml/2006/main" count="1035" uniqueCount="139">
  <si>
    <t>VÝKAZ  VOZIDLA</t>
  </si>
  <si>
    <t>Mesiac:</t>
  </si>
  <si>
    <t>Začiatok</t>
  </si>
  <si>
    <t>Koniec</t>
  </si>
  <si>
    <t>Odjazd. kilometre</t>
  </si>
  <si>
    <t>Stav tachometra</t>
  </si>
  <si>
    <t>Spotreba PHM v l.</t>
  </si>
  <si>
    <t>Zostatok</t>
  </si>
  <si>
    <t>mesto</t>
  </si>
  <si>
    <t>mimo</t>
  </si>
  <si>
    <t>spolu</t>
  </si>
  <si>
    <t>začiatoč.</t>
  </si>
  <si>
    <t>konečný</t>
  </si>
  <si>
    <t>litre</t>
  </si>
  <si>
    <t>JANUÁR</t>
  </si>
  <si>
    <t>Normy</t>
  </si>
  <si>
    <t>Datum</t>
  </si>
  <si>
    <t>STAV  NÁDRŽ</t>
  </si>
  <si>
    <t xml:space="preserve"> TACHOMETER</t>
  </si>
  <si>
    <t>STAV</t>
  </si>
  <si>
    <t>Mesto</t>
  </si>
  <si>
    <t>Vonku</t>
  </si>
  <si>
    <t>Celkom</t>
  </si>
  <si>
    <t>Tankovanie karta</t>
  </si>
  <si>
    <t>Tankovanie hotovosť</t>
  </si>
  <si>
    <t>FEBRUAR</t>
  </si>
  <si>
    <t>MAREC</t>
  </si>
  <si>
    <t>APRIL</t>
  </si>
  <si>
    <t>MAJ</t>
  </si>
  <si>
    <t>JUN</t>
  </si>
  <si>
    <t>JUL</t>
  </si>
  <si>
    <t>AUGUST</t>
  </si>
  <si>
    <t>SEPTEMBER</t>
  </si>
  <si>
    <t>OKTOBER</t>
  </si>
  <si>
    <t>NOVEMBER</t>
  </si>
  <si>
    <t>DECEMBER</t>
  </si>
  <si>
    <t>Spolu</t>
  </si>
  <si>
    <t>Spotreba PHM</t>
  </si>
  <si>
    <t>Odjazdené kilometre</t>
  </si>
  <si>
    <t>Prehľad prevádzky motoroveho vozidla</t>
  </si>
  <si>
    <t>EČV:</t>
  </si>
  <si>
    <t>TYP:</t>
  </si>
  <si>
    <t>za Mesiac</t>
  </si>
  <si>
    <t>(lit)</t>
  </si>
  <si>
    <t>(€)</t>
  </si>
  <si>
    <t>za ROK</t>
  </si>
  <si>
    <t>v Banskej Bystrici dňa;</t>
  </si>
  <si>
    <t>spracoval:</t>
  </si>
  <si>
    <t>Tankovanie - PHM</t>
  </si>
  <si>
    <t>km</t>
  </si>
  <si>
    <t>lit</t>
  </si>
  <si>
    <t>€</t>
  </si>
  <si>
    <t>Nádrž stav na konci mes.</t>
  </si>
  <si>
    <t>Priemerná spotreba</t>
  </si>
  <si>
    <t>na100km</t>
  </si>
  <si>
    <t>PHM</t>
  </si>
  <si>
    <t>Norma</t>
  </si>
  <si>
    <t>A (vonku)</t>
  </si>
  <si>
    <t>C (mesto)</t>
  </si>
  <si>
    <t>celková</t>
  </si>
  <si>
    <t xml:space="preserve">Nádrž stav na konci </t>
  </si>
  <si>
    <t>za Mes.</t>
  </si>
  <si>
    <t>priemer na 100km</t>
  </si>
  <si>
    <t>L</t>
  </si>
  <si>
    <t>Palivo</t>
  </si>
  <si>
    <t>Tankovanie celkom</t>
  </si>
  <si>
    <t>Priemerná cena</t>
  </si>
  <si>
    <t>za liter PHM</t>
  </si>
  <si>
    <t>Spotreba PHM v €.</t>
  </si>
  <si>
    <t>Spracoval:</t>
  </si>
  <si>
    <t>V Banskej Bystrici dňa:</t>
  </si>
  <si>
    <t>€ur</t>
  </si>
  <si>
    <t>ID voz.</t>
  </si>
  <si>
    <t>%</t>
  </si>
  <si>
    <t>Diesel</t>
  </si>
  <si>
    <t>Objem nadrže</t>
  </si>
  <si>
    <t>Objem</t>
  </si>
  <si>
    <t>Dotankovať</t>
  </si>
  <si>
    <t>BA</t>
  </si>
  <si>
    <t>CP BB</t>
  </si>
  <si>
    <t>165/70 R14 Barum</t>
  </si>
  <si>
    <t>4+1</t>
  </si>
  <si>
    <t>Výbava vozidla</t>
  </si>
  <si>
    <t>áno</t>
  </si>
  <si>
    <t>Stav</t>
  </si>
  <si>
    <t>Poznámka</t>
  </si>
  <si>
    <t>Výbava vozidla povinná</t>
  </si>
  <si>
    <t xml:space="preserve"> Pneumatiky letné </t>
  </si>
  <si>
    <t xml:space="preserve"> Pneumatiky zimné</t>
  </si>
  <si>
    <t>mechanický</t>
  </si>
  <si>
    <t>Kniha prevádzky DP</t>
  </si>
  <si>
    <t>Osvedčenie o evidencii</t>
  </si>
  <si>
    <t xml:space="preserve"> Štartovacie kľúče</t>
  </si>
  <si>
    <t>Kľúč na matice kolies</t>
  </si>
  <si>
    <t>Zdvihák</t>
  </si>
  <si>
    <t>Výstražný trojuholník</t>
  </si>
  <si>
    <t>Ťažné lano</t>
  </si>
  <si>
    <t>Lekárnička</t>
  </si>
  <si>
    <t>Žiarovky -sada</t>
  </si>
  <si>
    <t>Reflexná vesta</t>
  </si>
  <si>
    <t xml:space="preserve">Hasiaci prístroj </t>
  </si>
  <si>
    <t>Práškový 1/1kg</t>
  </si>
  <si>
    <t>Náhradné koleso</t>
  </si>
  <si>
    <t>Podlahové gumy</t>
  </si>
  <si>
    <t>Ťažné zariadenie</t>
  </si>
  <si>
    <t>Ťažné oko</t>
  </si>
  <si>
    <t>Autorádio</t>
  </si>
  <si>
    <t>Autoanténa</t>
  </si>
  <si>
    <t xml:space="preserve">Pridavné zaridenia </t>
  </si>
  <si>
    <t>GPS navigacia</t>
  </si>
  <si>
    <t>plechové</t>
  </si>
  <si>
    <t>z AL zliatiny</t>
  </si>
  <si>
    <t>Vozidlo</t>
  </si>
  <si>
    <t>Doplnková výbava</t>
  </si>
  <si>
    <t>Kanister</t>
  </si>
  <si>
    <t>pridelené vodičovi</t>
  </si>
  <si>
    <t>prevzal:</t>
  </si>
  <si>
    <t>. . . . . . . .</t>
  </si>
  <si>
    <t>podpis</t>
  </si>
  <si>
    <t>VIN kar.</t>
  </si>
  <si>
    <t>VIN mot.</t>
  </si>
  <si>
    <t>Farba</t>
  </si>
  <si>
    <t>ID:</t>
  </si>
  <si>
    <t>Typ:</t>
  </si>
  <si>
    <t>Naviják</t>
  </si>
  <si>
    <t>Cuvacia kamera</t>
  </si>
  <si>
    <t>menič näpatia 12V/230V</t>
  </si>
  <si>
    <t>Svietidlo prenosné</t>
  </si>
  <si>
    <t>Maják prenosný</t>
  </si>
  <si>
    <t xml:space="preserve">Majak </t>
  </si>
  <si>
    <t>neúplná</t>
  </si>
  <si>
    <t>R2013/5</t>
  </si>
  <si>
    <t>1ks</t>
  </si>
  <si>
    <t xml:space="preserve"> T plna  guma</t>
  </si>
  <si>
    <t>Disky kolies  leto</t>
  </si>
  <si>
    <t>Disky kolies  zima</t>
  </si>
  <si>
    <t>BB215GN</t>
  </si>
  <si>
    <t>dodávka</t>
  </si>
  <si>
    <t>B45539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</si>
</sst>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00"/>
    <numFmt numFmtId="176" formatCode="0.0"/>
  </numFmts>
  <fonts count="29" x14ac:knownFonts="1">
    <font>
      <sz val="10"/>
      <name val="Arial"/>
      <charset val="238"/>
    </font>
    <font>
      <sz val="10"/>
      <name val="Arial CE"/>
      <charset val="238"/>
    </font>
    <font>
      <b/>
      <u/>
      <sz val="14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8"/>
      <name val="Arial CE"/>
      <charset val="238"/>
    </font>
    <font>
      <b/>
      <sz val="12"/>
      <name val="Arial CE"/>
      <charset val="238"/>
    </font>
    <font>
      <sz val="14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4"/>
      <name val="Arial CE"/>
      <charset val="238"/>
    </font>
    <font>
      <sz val="12"/>
      <name val="Arial Narrow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0"/>
      <name val="Arial Narrow"/>
      <family val="2"/>
      <charset val="238"/>
    </font>
    <font>
      <b/>
      <sz val="14"/>
      <name val="Arial"/>
      <family val="2"/>
      <charset val="238"/>
    </font>
    <font>
      <sz val="11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rgb="FFFF0000"/>
      <name val="Arial CE"/>
      <charset val="238"/>
    </font>
    <font>
      <sz val="10"/>
      <color rgb="FF00B050"/>
      <name val="Arial"/>
      <family val="2"/>
      <charset val="238"/>
    </font>
    <font>
      <sz val="11"/>
      <color theme="1"/>
      <name val="Arial Narrow"/>
      <family val="2"/>
      <charset val="238"/>
    </font>
    <font>
      <b/>
      <sz val="11"/>
      <color theme="1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9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2" fontId="1" fillId="0" borderId="5" xfId="1" applyNumberFormat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2" fontId="1" fillId="0" borderId="8" xfId="1" applyNumberFormat="1" applyBorder="1"/>
    <xf numFmtId="0" fontId="1" fillId="0" borderId="0" xfId="1" applyAlignment="1"/>
    <xf numFmtId="0" fontId="1" fillId="0" borderId="0" xfId="1" applyFont="1" applyAlignment="1"/>
    <xf numFmtId="0" fontId="0" fillId="0" borderId="0" xfId="0" applyAlignment="1">
      <alignment horizontal="right"/>
    </xf>
    <xf numFmtId="0" fontId="1" fillId="0" borderId="0" xfId="1" applyFont="1"/>
    <xf numFmtId="0" fontId="1" fillId="0" borderId="9" xfId="1" applyFont="1" applyBorder="1"/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0" fillId="0" borderId="0" xfId="0" applyBorder="1"/>
    <xf numFmtId="0" fontId="6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0" xfId="0" applyNumberFormat="1" applyFont="1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2" fontId="0" fillId="0" borderId="0" xfId="0" applyNumberFormat="1" applyBorder="1" applyAlignment="1">
      <alignment horizontal="right"/>
    </xf>
    <xf numFmtId="2" fontId="0" fillId="0" borderId="15" xfId="0" applyNumberFormat="1" applyBorder="1"/>
    <xf numFmtId="0" fontId="7" fillId="0" borderId="0" xfId="0" applyFont="1"/>
    <xf numFmtId="0" fontId="7" fillId="0" borderId="0" xfId="0" applyFont="1" applyAlignment="1">
      <alignment horizontal="right"/>
    </xf>
    <xf numFmtId="2" fontId="9" fillId="0" borderId="0" xfId="0" applyNumberFormat="1" applyFont="1" applyBorder="1" applyAlignment="1">
      <alignment horizontal="right"/>
    </xf>
    <xf numFmtId="2" fontId="11" fillId="0" borderId="0" xfId="0" applyNumberFormat="1" applyFont="1" applyBorder="1" applyAlignment="1">
      <alignment horizontal="right"/>
    </xf>
    <xf numFmtId="2" fontId="0" fillId="0" borderId="0" xfId="0" applyNumberFormat="1" applyBorder="1" applyProtection="1">
      <protection locked="0"/>
    </xf>
    <xf numFmtId="0" fontId="0" fillId="0" borderId="16" xfId="0" applyBorder="1" applyAlignment="1">
      <alignment horizontal="center"/>
    </xf>
    <xf numFmtId="0" fontId="8" fillId="0" borderId="0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18" xfId="0" applyNumberFormat="1" applyBorder="1"/>
    <xf numFmtId="0" fontId="12" fillId="0" borderId="12" xfId="0" applyFont="1" applyBorder="1" applyAlignment="1">
      <alignment horizontal="center" wrapText="1"/>
    </xf>
    <xf numFmtId="0" fontId="10" fillId="0" borderId="0" xfId="0" applyFont="1" applyBorder="1" applyAlignment="1">
      <alignment horizontal="left"/>
    </xf>
    <xf numFmtId="175" fontId="0" fillId="0" borderId="14" xfId="0" applyNumberFormat="1" applyBorder="1"/>
    <xf numFmtId="2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12" fillId="0" borderId="0" xfId="0" applyFont="1" applyBorder="1" applyAlignment="1">
      <alignment horizontal="center" wrapText="1"/>
    </xf>
    <xf numFmtId="175" fontId="0" fillId="0" borderId="0" xfId="0" applyNumberFormat="1" applyBorder="1"/>
    <xf numFmtId="0" fontId="1" fillId="0" borderId="11" xfId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1" fillId="0" borderId="6" xfId="1" applyFill="1" applyBorder="1" applyAlignment="1">
      <alignment horizontal="center"/>
    </xf>
    <xf numFmtId="0" fontId="1" fillId="0" borderId="6" xfId="1" applyFill="1" applyBorder="1"/>
    <xf numFmtId="2" fontId="1" fillId="0" borderId="6" xfId="1" applyNumberForma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" fillId="0" borderId="22" xfId="1" applyFont="1" applyFill="1" applyBorder="1"/>
    <xf numFmtId="176" fontId="1" fillId="0" borderId="23" xfId="1" applyNumberFormat="1" applyFill="1" applyBorder="1" applyAlignment="1">
      <alignment horizontal="center"/>
    </xf>
    <xf numFmtId="0" fontId="1" fillId="0" borderId="0" xfId="1" applyFill="1"/>
    <xf numFmtId="0" fontId="0" fillId="0" borderId="0" xfId="0" applyFill="1"/>
    <xf numFmtId="0" fontId="1" fillId="0" borderId="0" xfId="1" applyFill="1" applyAlignment="1"/>
    <xf numFmtId="0" fontId="1" fillId="0" borderId="24" xfId="1" applyFont="1" applyFill="1" applyBorder="1"/>
    <xf numFmtId="176" fontId="1" fillId="0" borderId="25" xfId="1" applyNumberFormat="1" applyFill="1" applyBorder="1" applyAlignment="1">
      <alignment horizontal="center"/>
    </xf>
    <xf numFmtId="0" fontId="3" fillId="0" borderId="26" xfId="1" applyFont="1" applyFill="1" applyBorder="1"/>
    <xf numFmtId="0" fontId="1" fillId="0" borderId="27" xfId="1" applyFill="1" applyBorder="1" applyAlignment="1">
      <alignment horizontal="center"/>
    </xf>
    <xf numFmtId="0" fontId="1" fillId="0" borderId="6" xfId="1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2" borderId="6" xfId="1" applyFill="1" applyBorder="1" applyAlignment="1" applyProtection="1">
      <alignment horizontal="center"/>
      <protection locked="0"/>
    </xf>
    <xf numFmtId="0" fontId="1" fillId="0" borderId="0" xfId="1" applyFill="1" applyBorder="1" applyAlignment="1"/>
    <xf numFmtId="0" fontId="1" fillId="0" borderId="0" xfId="1" applyFont="1" applyFill="1" applyBorder="1" applyAlignment="1"/>
    <xf numFmtId="0" fontId="13" fillId="0" borderId="2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175" fontId="0" fillId="0" borderId="28" xfId="0" applyNumberFormat="1" applyBorder="1"/>
    <xf numFmtId="2" fontId="3" fillId="0" borderId="30" xfId="0" applyNumberFormat="1" applyFont="1" applyBorder="1"/>
    <xf numFmtId="0" fontId="0" fillId="0" borderId="31" xfId="0" applyBorder="1"/>
    <xf numFmtId="175" fontId="10" fillId="0" borderId="9" xfId="0" applyNumberFormat="1" applyFont="1" applyBorder="1"/>
    <xf numFmtId="2" fontId="3" fillId="0" borderId="9" xfId="0" applyNumberFormat="1" applyFont="1" applyBorder="1"/>
    <xf numFmtId="0" fontId="3" fillId="0" borderId="32" xfId="0" applyFont="1" applyBorder="1" applyAlignment="1">
      <alignment horizontal="center" vertical="center"/>
    </xf>
    <xf numFmtId="2" fontId="3" fillId="0" borderId="32" xfId="0" applyNumberFormat="1" applyFont="1" applyBorder="1" applyAlignment="1">
      <alignment horizontal="center"/>
    </xf>
    <xf numFmtId="0" fontId="6" fillId="0" borderId="0" xfId="0" applyFont="1" applyBorder="1"/>
    <xf numFmtId="0" fontId="10" fillId="0" borderId="32" xfId="0" applyFont="1" applyBorder="1" applyAlignment="1">
      <alignment horizontal="center"/>
    </xf>
    <xf numFmtId="2" fontId="3" fillId="0" borderId="32" xfId="0" applyNumberFormat="1" applyFont="1" applyBorder="1"/>
    <xf numFmtId="0" fontId="1" fillId="0" borderId="30" xfId="1" applyBorder="1"/>
    <xf numFmtId="0" fontId="5" fillId="0" borderId="33" xfId="1" applyFont="1" applyFill="1" applyBorder="1"/>
    <xf numFmtId="0" fontId="1" fillId="0" borderId="34" xfId="1" applyFill="1" applyBorder="1"/>
    <xf numFmtId="0" fontId="1" fillId="0" borderId="14" xfId="1" applyFill="1" applyBorder="1"/>
    <xf numFmtId="0" fontId="1" fillId="0" borderId="35" xfId="1" applyFill="1" applyBorder="1"/>
    <xf numFmtId="175" fontId="14" fillId="0" borderId="35" xfId="1" applyNumberFormat="1" applyFont="1" applyFill="1" applyBorder="1"/>
    <xf numFmtId="0" fontId="1" fillId="0" borderId="0" xfId="1" applyFont="1" applyFill="1" applyBorder="1"/>
    <xf numFmtId="176" fontId="1" fillId="0" borderId="0" xfId="1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0" fillId="0" borderId="6" xfId="0" applyFill="1" applyBorder="1"/>
    <xf numFmtId="0" fontId="1" fillId="0" borderId="6" xfId="1" applyFont="1" applyFill="1" applyBorder="1"/>
    <xf numFmtId="2" fontId="1" fillId="0" borderId="33" xfId="1" applyNumberFormat="1" applyBorder="1"/>
    <xf numFmtId="0" fontId="7" fillId="0" borderId="32" xfId="0" applyFont="1" applyBorder="1"/>
    <xf numFmtId="0" fontId="0" fillId="0" borderId="9" xfId="0" applyBorder="1"/>
    <xf numFmtId="2" fontId="0" fillId="0" borderId="0" xfId="0" applyNumberFormat="1" applyBorder="1" applyAlignment="1">
      <alignment horizontal="center"/>
    </xf>
    <xf numFmtId="0" fontId="1" fillId="0" borderId="6" xfId="1" applyBorder="1" applyAlignment="1">
      <alignment horizontal="center"/>
    </xf>
    <xf numFmtId="0" fontId="9" fillId="0" borderId="32" xfId="0" applyFont="1" applyBorder="1"/>
    <xf numFmtId="0" fontId="0" fillId="0" borderId="30" xfId="0" applyBorder="1"/>
    <xf numFmtId="0" fontId="0" fillId="0" borderId="32" xfId="0" applyBorder="1"/>
    <xf numFmtId="0" fontId="1" fillId="0" borderId="36" xfId="1" applyBorder="1" applyAlignment="1">
      <alignment horizontal="center"/>
    </xf>
    <xf numFmtId="0" fontId="1" fillId="0" borderId="37" xfId="1" applyFont="1" applyBorder="1" applyAlignment="1">
      <alignment horizontal="center"/>
    </xf>
    <xf numFmtId="2" fontId="1" fillId="0" borderId="4" xfId="1" applyNumberFormat="1" applyBorder="1"/>
    <xf numFmtId="0" fontId="1" fillId="0" borderId="32" xfId="1" applyBorder="1"/>
    <xf numFmtId="2" fontId="0" fillId="0" borderId="3" xfId="0" applyNumberFormat="1" applyBorder="1"/>
    <xf numFmtId="0" fontId="0" fillId="0" borderId="38" xfId="0" applyBorder="1"/>
    <xf numFmtId="0" fontId="0" fillId="0" borderId="39" xfId="0" applyBorder="1"/>
    <xf numFmtId="0" fontId="1" fillId="0" borderId="23" xfId="1" applyBorder="1" applyAlignment="1">
      <alignment horizontal="center"/>
    </xf>
    <xf numFmtId="0" fontId="1" fillId="0" borderId="37" xfId="1" applyBorder="1" applyAlignment="1">
      <alignment horizontal="center"/>
    </xf>
    <xf numFmtId="2" fontId="0" fillId="0" borderId="1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0" fontId="0" fillId="0" borderId="0" xfId="0" applyProtection="1">
      <protection locked="0"/>
    </xf>
    <xf numFmtId="2" fontId="0" fillId="0" borderId="0" xfId="0" applyNumberFormat="1" applyBorder="1" applyAlignment="1" applyProtection="1">
      <alignment horizontal="center"/>
      <protection locked="0"/>
    </xf>
    <xf numFmtId="0" fontId="1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2" fontId="0" fillId="0" borderId="43" xfId="0" applyNumberFormat="1" applyBorder="1"/>
    <xf numFmtId="2" fontId="0" fillId="0" borderId="44" xfId="0" applyNumberFormat="1" applyBorder="1"/>
    <xf numFmtId="0" fontId="1" fillId="0" borderId="5" xfId="1" applyBorder="1" applyProtection="1">
      <protection locked="0"/>
    </xf>
    <xf numFmtId="0" fontId="1" fillId="0" borderId="6" xfId="1" applyBorder="1" applyProtection="1">
      <protection locked="0"/>
    </xf>
    <xf numFmtId="0" fontId="1" fillId="0" borderId="7" xfId="1" applyBorder="1" applyProtection="1">
      <protection locked="0"/>
    </xf>
    <xf numFmtId="0" fontId="1" fillId="0" borderId="22" xfId="1" applyBorder="1" applyProtection="1">
      <protection locked="0"/>
    </xf>
    <xf numFmtId="0" fontId="1" fillId="0" borderId="26" xfId="1" applyBorder="1" applyProtection="1">
      <protection locked="0"/>
    </xf>
    <xf numFmtId="0" fontId="10" fillId="0" borderId="12" xfId="0" applyFont="1" applyBorder="1" applyAlignment="1">
      <alignment horizontal="center"/>
    </xf>
    <xf numFmtId="175" fontId="0" fillId="0" borderId="6" xfId="0" applyNumberFormat="1" applyBorder="1"/>
    <xf numFmtId="0" fontId="0" fillId="0" borderId="0" xfId="1" applyFont="1"/>
    <xf numFmtId="176" fontId="1" fillId="0" borderId="0" xfId="1" applyNumberFormat="1"/>
    <xf numFmtId="0" fontId="11" fillId="0" borderId="0" xfId="0" applyFont="1"/>
    <xf numFmtId="0" fontId="0" fillId="2" borderId="6" xfId="0" applyFill="1" applyBorder="1" applyAlignment="1" applyProtection="1">
      <alignment horizontal="center"/>
      <protection locked="0"/>
    </xf>
    <xf numFmtId="0" fontId="1" fillId="0" borderId="22" xfId="1" applyBorder="1"/>
    <xf numFmtId="0" fontId="1" fillId="0" borderId="23" xfId="1" applyBorder="1"/>
    <xf numFmtId="0" fontId="8" fillId="0" borderId="4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5" fillId="0" borderId="21" xfId="0" applyFont="1" applyBorder="1"/>
    <xf numFmtId="2" fontId="0" fillId="0" borderId="0" xfId="0" applyNumberFormat="1" applyFill="1"/>
    <xf numFmtId="0" fontId="25" fillId="0" borderId="0" xfId="1" applyFont="1" applyFill="1" applyAlignment="1"/>
    <xf numFmtId="0" fontId="26" fillId="0" borderId="0" xfId="0" applyFont="1" applyFill="1" applyAlignment="1">
      <alignment horizontal="center"/>
    </xf>
    <xf numFmtId="0" fontId="16" fillId="0" borderId="0" xfId="0" applyFont="1" applyFill="1"/>
    <xf numFmtId="0" fontId="1" fillId="0" borderId="45" xfId="1" applyBorder="1"/>
    <xf numFmtId="0" fontId="1" fillId="0" borderId="46" xfId="1" applyBorder="1" applyAlignment="1">
      <alignment horizontal="center"/>
    </xf>
    <xf numFmtId="2" fontId="0" fillId="0" borderId="47" xfId="0" applyNumberFormat="1" applyBorder="1"/>
    <xf numFmtId="2" fontId="0" fillId="0" borderId="48" xfId="0" applyNumberFormat="1" applyBorder="1"/>
    <xf numFmtId="2" fontId="0" fillId="0" borderId="49" xfId="0" applyNumberFormat="1" applyBorder="1"/>
    <xf numFmtId="0" fontId="1" fillId="0" borderId="2" xfId="1" applyFont="1" applyBorder="1" applyAlignment="1">
      <alignment horizontal="center"/>
    </xf>
    <xf numFmtId="2" fontId="1" fillId="0" borderId="24" xfId="1" applyNumberFormat="1" applyBorder="1" applyProtection="1">
      <protection locked="0"/>
    </xf>
    <xf numFmtId="0" fontId="1" fillId="0" borderId="50" xfId="1" applyBorder="1" applyProtection="1">
      <protection locked="0"/>
    </xf>
    <xf numFmtId="0" fontId="1" fillId="0" borderId="51" xfId="1" applyBorder="1" applyProtection="1">
      <protection locked="0"/>
    </xf>
    <xf numFmtId="0" fontId="1" fillId="0" borderId="52" xfId="1" applyBorder="1" applyProtection="1">
      <protection locked="0"/>
    </xf>
    <xf numFmtId="0" fontId="1" fillId="0" borderId="37" xfId="1" applyBorder="1" applyProtection="1">
      <protection locked="0"/>
    </xf>
    <xf numFmtId="0" fontId="1" fillId="0" borderId="36" xfId="1" applyBorder="1" applyProtection="1">
      <protection locked="0"/>
    </xf>
    <xf numFmtId="0" fontId="1" fillId="0" borderId="53" xfId="1" applyBorder="1" applyProtection="1">
      <protection locked="0"/>
    </xf>
    <xf numFmtId="0" fontId="1" fillId="0" borderId="54" xfId="1" applyBorder="1" applyProtection="1">
      <protection locked="0"/>
    </xf>
    <xf numFmtId="0" fontId="17" fillId="2" borderId="0" xfId="1" applyFont="1" applyFill="1" applyBorder="1" applyAlignment="1" applyProtection="1">
      <alignment horizontal="center"/>
      <protection locked="0"/>
    </xf>
    <xf numFmtId="2" fontId="1" fillId="2" borderId="44" xfId="1" applyNumberFormat="1" applyFill="1" applyBorder="1" applyAlignment="1" applyProtection="1">
      <alignment horizontal="center"/>
      <protection locked="0"/>
    </xf>
    <xf numFmtId="2" fontId="1" fillId="2" borderId="1" xfId="1" applyNumberFormat="1" applyFill="1" applyBorder="1" applyAlignment="1" applyProtection="1">
      <alignment horizontal="center"/>
      <protection locked="0"/>
    </xf>
    <xf numFmtId="0" fontId="9" fillId="0" borderId="3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2" fontId="1" fillId="2" borderId="9" xfId="1" applyNumberFormat="1" applyFill="1" applyBorder="1" applyAlignment="1" applyProtection="1">
      <alignment horizontal="center"/>
      <protection locked="0"/>
    </xf>
    <xf numFmtId="2" fontId="1" fillId="2" borderId="21" xfId="1" applyNumberFormat="1" applyFill="1" applyBorder="1" applyAlignment="1" applyProtection="1">
      <alignment horizontal="center"/>
      <protection locked="0"/>
    </xf>
    <xf numFmtId="0" fontId="15" fillId="0" borderId="0" xfId="0" applyFont="1"/>
    <xf numFmtId="0" fontId="9" fillId="0" borderId="0" xfId="0" applyFont="1"/>
    <xf numFmtId="0" fontId="24" fillId="3" borderId="6" xfId="0" applyFont="1" applyFill="1" applyBorder="1" applyAlignment="1">
      <alignment horizontal="left"/>
    </xf>
    <xf numFmtId="0" fontId="21" fillId="3" borderId="6" xfId="0" applyFont="1" applyFill="1" applyBorder="1" applyAlignment="1" applyProtection="1">
      <alignment horizontal="left"/>
      <protection locked="0"/>
    </xf>
    <xf numFmtId="0" fontId="21" fillId="0" borderId="0" xfId="0" applyFont="1" applyFill="1" applyBorder="1" applyAlignment="1" applyProtection="1">
      <alignment horizontal="left"/>
      <protection locked="0"/>
    </xf>
    <xf numFmtId="0" fontId="24" fillId="3" borderId="6" xfId="0" applyFont="1" applyFill="1" applyBorder="1" applyAlignment="1" applyProtection="1">
      <alignment horizontal="center"/>
    </xf>
    <xf numFmtId="0" fontId="0" fillId="0" borderId="0" xfId="0" applyProtection="1"/>
    <xf numFmtId="2" fontId="0" fillId="0" borderId="0" xfId="0" applyNumberFormat="1" applyBorder="1" applyProtection="1"/>
    <xf numFmtId="2" fontId="0" fillId="0" borderId="0" xfId="0" applyNumberFormat="1" applyBorder="1" applyAlignment="1" applyProtection="1">
      <alignment horizontal="right"/>
    </xf>
    <xf numFmtId="2" fontId="3" fillId="0" borderId="0" xfId="0" applyNumberFormat="1" applyFont="1" applyBorder="1" applyProtection="1"/>
    <xf numFmtId="0" fontId="9" fillId="0" borderId="0" xfId="0" applyFont="1" applyProtection="1"/>
    <xf numFmtId="0" fontId="8" fillId="0" borderId="0" xfId="0" applyFont="1" applyAlignment="1" applyProtection="1">
      <alignment horizontal="right"/>
    </xf>
    <xf numFmtId="2" fontId="23" fillId="0" borderId="0" xfId="0" applyNumberFormat="1" applyFont="1" applyBorder="1" applyProtection="1"/>
    <xf numFmtId="2" fontId="8" fillId="0" borderId="0" xfId="0" applyNumberFormat="1" applyFont="1" applyBorder="1" applyAlignment="1" applyProtection="1">
      <alignment horizontal="right"/>
    </xf>
    <xf numFmtId="2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2" fontId="18" fillId="0" borderId="0" xfId="0" applyNumberFormat="1" applyFont="1" applyBorder="1" applyAlignment="1" applyProtection="1">
      <alignment horizontal="center"/>
    </xf>
    <xf numFmtId="2" fontId="23" fillId="0" borderId="0" xfId="0" applyNumberFormat="1" applyFont="1" applyBorder="1" applyAlignment="1" applyProtection="1">
      <alignment horizontal="right"/>
    </xf>
    <xf numFmtId="2" fontId="9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2" fontId="11" fillId="0" borderId="0" xfId="0" applyNumberFormat="1" applyFont="1" applyBorder="1" applyAlignment="1" applyProtection="1">
      <alignment horizontal="right"/>
    </xf>
    <xf numFmtId="2" fontId="9" fillId="0" borderId="0" xfId="0" applyNumberFormat="1" applyFont="1" applyBorder="1" applyAlignment="1" applyProtection="1">
      <alignment horizontal="right"/>
    </xf>
    <xf numFmtId="0" fontId="10" fillId="0" borderId="0" xfId="0" applyFont="1" applyProtection="1"/>
    <xf numFmtId="0" fontId="21" fillId="3" borderId="0" xfId="0" applyFont="1" applyFill="1" applyBorder="1" applyAlignment="1" applyProtection="1">
      <alignment horizontal="left"/>
      <protection locked="0"/>
    </xf>
    <xf numFmtId="175" fontId="1" fillId="0" borderId="8" xfId="1" applyNumberFormat="1" applyBorder="1" applyProtection="1">
      <protection locked="0"/>
    </xf>
    <xf numFmtId="1" fontId="23" fillId="0" borderId="0" xfId="0" applyNumberFormat="1" applyFont="1" applyBorder="1" applyProtection="1"/>
    <xf numFmtId="0" fontId="27" fillId="0" borderId="22" xfId="0" applyFont="1" applyBorder="1" applyAlignment="1" applyProtection="1">
      <alignment horizontal="left"/>
      <protection locked="0"/>
    </xf>
    <xf numFmtId="0" fontId="27" fillId="0" borderId="55" xfId="0" applyFont="1" applyBorder="1" applyAlignment="1" applyProtection="1">
      <alignment horizontal="left"/>
      <protection locked="0"/>
    </xf>
    <xf numFmtId="0" fontId="27" fillId="0" borderId="23" xfId="0" applyFont="1" applyBorder="1" applyAlignment="1" applyProtection="1">
      <alignment horizontal="left"/>
      <protection locked="0"/>
    </xf>
    <xf numFmtId="2" fontId="23" fillId="0" borderId="0" xfId="0" applyNumberFormat="1" applyFont="1" applyBorder="1" applyAlignment="1" applyProtection="1">
      <alignment horizontal="center"/>
    </xf>
    <xf numFmtId="0" fontId="21" fillId="3" borderId="22" xfId="0" applyFont="1" applyFill="1" applyBorder="1" applyAlignment="1" applyProtection="1">
      <alignment horizontal="center"/>
      <protection locked="0"/>
    </xf>
    <xf numFmtId="0" fontId="21" fillId="3" borderId="55" xfId="0" applyFont="1" applyFill="1" applyBorder="1" applyAlignment="1" applyProtection="1">
      <alignment horizontal="center"/>
      <protection locked="0"/>
    </xf>
    <xf numFmtId="0" fontId="21" fillId="3" borderId="23" xfId="0" applyFont="1" applyFill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left"/>
      <protection locked="0"/>
    </xf>
    <xf numFmtId="0" fontId="28" fillId="0" borderId="22" xfId="0" applyFont="1" applyBorder="1" applyAlignment="1" applyProtection="1">
      <alignment horizontal="center"/>
    </xf>
    <xf numFmtId="0" fontId="28" fillId="0" borderId="55" xfId="0" applyFont="1" applyBorder="1" applyAlignment="1" applyProtection="1">
      <alignment horizontal="center"/>
    </xf>
    <xf numFmtId="0" fontId="28" fillId="0" borderId="23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55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4" fillId="0" borderId="22" xfId="0" applyFont="1" applyBorder="1" applyAlignment="1" applyProtection="1">
      <alignment horizontal="center"/>
    </xf>
    <xf numFmtId="0" fontId="24" fillId="0" borderId="55" xfId="0" applyFont="1" applyBorder="1" applyAlignment="1" applyProtection="1">
      <alignment horizontal="center"/>
    </xf>
    <xf numFmtId="0" fontId="24" fillId="0" borderId="23" xfId="0" applyFont="1" applyBorder="1" applyAlignment="1" applyProtection="1">
      <alignment horizontal="center"/>
    </xf>
    <xf numFmtId="0" fontId="27" fillId="0" borderId="6" xfId="0" applyFont="1" applyBorder="1" applyAlignment="1" applyProtection="1">
      <alignment horizontal="left"/>
      <protection locked="0"/>
    </xf>
    <xf numFmtId="0" fontId="28" fillId="0" borderId="6" xfId="0" applyFont="1" applyBorder="1" applyAlignment="1" applyProtection="1">
      <alignment horizontal="center"/>
    </xf>
    <xf numFmtId="2" fontId="18" fillId="0" borderId="0" xfId="0" applyNumberFormat="1" applyFont="1" applyBorder="1" applyAlignment="1" applyProtection="1">
      <alignment horizontal="center"/>
      <protection locked="0"/>
    </xf>
    <xf numFmtId="2" fontId="0" fillId="0" borderId="0" xfId="0" applyNumberFormat="1" applyBorder="1" applyAlignment="1" applyProtection="1">
      <alignment horizontal="center"/>
    </xf>
    <xf numFmtId="14" fontId="10" fillId="0" borderId="0" xfId="0" applyNumberFormat="1" applyFont="1" applyBorder="1" applyAlignment="1" applyProtection="1">
      <alignment horizontal="center"/>
      <protection locked="0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2" borderId="22" xfId="1" applyFill="1" applyBorder="1" applyAlignment="1" applyProtection="1">
      <alignment horizontal="center"/>
      <protection locked="0"/>
    </xf>
    <xf numFmtId="0" fontId="1" fillId="2" borderId="23" xfId="1" applyFill="1" applyBorder="1" applyAlignment="1" applyProtection="1">
      <alignment horizontal="center"/>
      <protection locked="0"/>
    </xf>
    <xf numFmtId="0" fontId="18" fillId="2" borderId="56" xfId="0" applyFont="1" applyFill="1" applyBorder="1" applyAlignment="1" applyProtection="1">
      <alignment horizontal="center"/>
      <protection locked="0"/>
    </xf>
    <xf numFmtId="0" fontId="18" fillId="2" borderId="57" xfId="0" applyFont="1" applyFill="1" applyBorder="1" applyAlignment="1" applyProtection="1">
      <alignment horizontal="center"/>
      <protection locked="0"/>
    </xf>
    <xf numFmtId="0" fontId="18" fillId="2" borderId="2" xfId="0" applyFont="1" applyFill="1" applyBorder="1" applyAlignment="1" applyProtection="1">
      <alignment horizontal="center"/>
      <protection locked="0"/>
    </xf>
    <xf numFmtId="0" fontId="18" fillId="2" borderId="58" xfId="0" applyFont="1" applyFill="1" applyBorder="1" applyAlignment="1" applyProtection="1">
      <alignment horizontal="center"/>
      <protection locked="0"/>
    </xf>
    <xf numFmtId="0" fontId="22" fillId="0" borderId="0" xfId="0" applyFont="1" applyBorder="1" applyAlignment="1" applyProtection="1">
      <alignment horizontal="center"/>
    </xf>
    <xf numFmtId="14" fontId="10" fillId="0" borderId="0" xfId="0" applyNumberFormat="1" applyFont="1" applyBorder="1" applyAlignment="1">
      <alignment horizontal="center"/>
    </xf>
    <xf numFmtId="0" fontId="1" fillId="0" borderId="22" xfId="1" applyFill="1" applyBorder="1" applyAlignment="1">
      <alignment horizontal="center"/>
    </xf>
    <xf numFmtId="0" fontId="1" fillId="0" borderId="23" xfId="1" applyFill="1" applyBorder="1" applyAlignment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1" fontId="1" fillId="0" borderId="22" xfId="1" applyNumberFormat="1" applyFont="1" applyFill="1" applyBorder="1" applyAlignment="1">
      <alignment horizontal="center"/>
    </xf>
    <xf numFmtId="1" fontId="1" fillId="0" borderId="23" xfId="1" applyNumberFormat="1" applyFont="1" applyFill="1" applyBorder="1" applyAlignment="1">
      <alignment horizontal="center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29" xfId="0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4" fillId="0" borderId="0" xfId="1" applyNumberFormat="1" applyFont="1" applyAlignment="1">
      <alignment horizontal="center"/>
    </xf>
    <xf numFmtId="0" fontId="1" fillId="0" borderId="43" xfId="1" applyFont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0" borderId="6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56" xfId="1" applyBorder="1" applyAlignment="1">
      <alignment horizontal="center"/>
    </xf>
    <xf numFmtId="0" fontId="0" fillId="0" borderId="64" xfId="0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64" xfId="1" applyBorder="1" applyAlignment="1">
      <alignment horizontal="center"/>
    </xf>
    <xf numFmtId="0" fontId="1" fillId="0" borderId="65" xfId="1" applyBorder="1" applyAlignment="1">
      <alignment horizontal="center"/>
    </xf>
    <xf numFmtId="0" fontId="1" fillId="0" borderId="60" xfId="1" applyFont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0" borderId="62" xfId="1" applyBorder="1" applyAlignment="1">
      <alignment horizontal="center"/>
    </xf>
    <xf numFmtId="0" fontId="1" fillId="0" borderId="57" xfId="1" applyBorder="1" applyAlignment="1">
      <alignment horizontal="center"/>
    </xf>
  </cellXfs>
  <cellStyles count="2">
    <cellStyle name="Normálna" xfId="0" builtinId="0"/>
    <cellStyle name="normálne_Hárok1" xfId="1" xr:uid="{D7CE90CE-13EE-4B4A-94B8-5B08F79E5A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2D5F-49F5-42E0-93F8-987B4503F278}">
  <sheetPr>
    <pageSetUpPr fitToPage="1"/>
  </sheetPr>
  <dimension ref="A2:P68"/>
  <sheetViews>
    <sheetView showZeros="0" view="pageBreakPreview" zoomScale="55" zoomScaleNormal="73" zoomScaleSheetLayoutView="55" workbookViewId="0">
      <selection activeCell="V27" sqref="V27"/>
    </sheetView>
  </sheetViews>
  <sheetFormatPr defaultRowHeight="12.75" x14ac:dyDescent="0.2"/>
  <cols>
    <col min="1" max="1" width="2.28515625" customWidth="1"/>
    <col min="16" max="16" width="5.85546875" customWidth="1"/>
  </cols>
  <sheetData>
    <row r="2" spans="2:16" ht="18" x14ac:dyDescent="0.25">
      <c r="B2" s="31" t="s">
        <v>39</v>
      </c>
      <c r="E2" s="138"/>
      <c r="L2" s="32" t="s">
        <v>45</v>
      </c>
      <c r="M2" s="163">
        <v>2025</v>
      </c>
      <c r="O2" s="31" t="s">
        <v>79</v>
      </c>
    </row>
    <row r="3" spans="2:16" ht="13.5" thickBot="1" x14ac:dyDescent="0.25"/>
    <row r="4" spans="2:16" ht="18" x14ac:dyDescent="0.25">
      <c r="B4" s="142" t="s">
        <v>40</v>
      </c>
      <c r="C4" s="225" t="s">
        <v>136</v>
      </c>
      <c r="D4" s="226"/>
      <c r="F4" s="100" t="s">
        <v>64</v>
      </c>
      <c r="G4" s="45"/>
      <c r="H4" s="167" t="s">
        <v>55</v>
      </c>
      <c r="I4" s="164">
        <v>9.5</v>
      </c>
      <c r="J4" s="45" t="s">
        <v>57</v>
      </c>
      <c r="L4" s="221" t="s">
        <v>75</v>
      </c>
      <c r="M4" s="222"/>
    </row>
    <row r="5" spans="2:16" ht="16.5" thickBot="1" x14ac:dyDescent="0.3">
      <c r="B5" s="143" t="s">
        <v>41</v>
      </c>
      <c r="C5" s="227" t="s">
        <v>137</v>
      </c>
      <c r="D5" s="228"/>
      <c r="F5" s="168" t="s">
        <v>74</v>
      </c>
      <c r="G5" s="169" t="s">
        <v>78</v>
      </c>
      <c r="H5" s="166" t="s">
        <v>56</v>
      </c>
      <c r="I5" s="165">
        <v>10.5</v>
      </c>
      <c r="J5" s="144" t="s">
        <v>58</v>
      </c>
      <c r="L5" s="223">
        <v>90</v>
      </c>
      <c r="M5" s="224"/>
    </row>
    <row r="6" spans="2:16" ht="18.75" thickBot="1" x14ac:dyDescent="0.3">
      <c r="C6" s="233"/>
      <c r="D6" s="233"/>
      <c r="F6" s="52"/>
      <c r="G6" s="53"/>
      <c r="H6" s="21"/>
      <c r="J6" s="31"/>
      <c r="L6" s="15" t="s">
        <v>17</v>
      </c>
      <c r="M6" s="14"/>
    </row>
    <row r="7" spans="2:16" ht="13.5" thickBot="1" x14ac:dyDescent="0.25">
      <c r="B7" s="134" t="s">
        <v>72</v>
      </c>
      <c r="C7" s="238" t="s">
        <v>138</v>
      </c>
      <c r="D7" s="239"/>
      <c r="F7" s="16" t="s">
        <v>19</v>
      </c>
      <c r="G7" s="15" t="s">
        <v>18</v>
      </c>
      <c r="H7" s="1"/>
      <c r="L7" s="55" t="s">
        <v>2</v>
      </c>
      <c r="M7" s="54" t="s">
        <v>3</v>
      </c>
    </row>
    <row r="8" spans="2:16" ht="18" x14ac:dyDescent="0.25">
      <c r="B8" s="50"/>
      <c r="C8" s="51"/>
      <c r="D8" s="51"/>
      <c r="F8" s="231" t="s">
        <v>2</v>
      </c>
      <c r="G8" s="232"/>
      <c r="H8" s="231" t="s">
        <v>3</v>
      </c>
      <c r="I8" s="232"/>
      <c r="L8" s="70">
        <v>79.69</v>
      </c>
      <c r="M8" s="56">
        <f>O26</f>
        <v>88.025000000000034</v>
      </c>
      <c r="N8" t="s">
        <v>63</v>
      </c>
    </row>
    <row r="9" spans="2:16" ht="12.75" customHeight="1" x14ac:dyDescent="0.2">
      <c r="F9" s="234">
        <v>30109</v>
      </c>
      <c r="G9" s="235"/>
      <c r="H9" s="236">
        <f>O14+F9</f>
        <v>33144</v>
      </c>
      <c r="I9" s="237"/>
      <c r="L9" s="139"/>
      <c r="M9" s="135">
        <f>(L9+O31)-O19</f>
        <v>60.98181500000004</v>
      </c>
      <c r="N9" t="s">
        <v>51</v>
      </c>
    </row>
    <row r="10" spans="2:16" ht="16.5" thickBot="1" x14ac:dyDescent="0.3">
      <c r="B10" s="22" t="s">
        <v>38</v>
      </c>
      <c r="O10" s="22" t="s">
        <v>38</v>
      </c>
    </row>
    <row r="11" spans="2:16" ht="16.5" thickBot="1" x14ac:dyDescent="0.3">
      <c r="B11" s="57" t="s">
        <v>61</v>
      </c>
      <c r="C11" s="123">
        <v>1</v>
      </c>
      <c r="D11" s="124">
        <v>2</v>
      </c>
      <c r="E11" s="124">
        <v>3</v>
      </c>
      <c r="F11" s="124">
        <v>4</v>
      </c>
      <c r="G11" s="124">
        <v>5</v>
      </c>
      <c r="H11" s="124">
        <v>6</v>
      </c>
      <c r="I11" s="124">
        <v>7</v>
      </c>
      <c r="J11" s="124">
        <v>8</v>
      </c>
      <c r="K11" s="124">
        <v>9</v>
      </c>
      <c r="L11" s="125">
        <v>10</v>
      </c>
      <c r="M11" s="125">
        <v>11</v>
      </c>
      <c r="N11" s="126">
        <v>12</v>
      </c>
      <c r="O11" s="82" t="s">
        <v>36</v>
      </c>
      <c r="P11" s="45"/>
    </row>
    <row r="12" spans="2:16" ht="13.5" thickBot="1" x14ac:dyDescent="0.25">
      <c r="B12" s="121" t="s">
        <v>20</v>
      </c>
      <c r="C12" s="127">
        <f>'01'!B$46</f>
        <v>147</v>
      </c>
      <c r="D12" s="128">
        <f>'02'!$B$46</f>
        <v>101</v>
      </c>
      <c r="E12" s="128">
        <f>'03'!$B$46</f>
        <v>83</v>
      </c>
      <c r="F12" s="128">
        <f>'04'!$B$46</f>
        <v>184</v>
      </c>
      <c r="G12" s="128">
        <f>'05'!$B$46</f>
        <v>113</v>
      </c>
      <c r="H12" s="128">
        <f>'06'!$B$46</f>
        <v>83</v>
      </c>
      <c r="I12" s="128">
        <f>'07'!$B$46</f>
        <v>73</v>
      </c>
      <c r="J12" s="128">
        <f>'08'!$B$46</f>
        <v>314</v>
      </c>
      <c r="K12" s="128">
        <f>'09'!$B$46</f>
        <v>178</v>
      </c>
      <c r="L12" s="128">
        <f>'10'!$B$46</f>
        <v>146</v>
      </c>
      <c r="M12" s="128">
        <f>'11'!$B$46</f>
        <v>52</v>
      </c>
      <c r="N12" s="128">
        <f>'12'!$B$46</f>
        <v>10</v>
      </c>
      <c r="O12" s="26">
        <f>SUM(C12:N12)</f>
        <v>1484</v>
      </c>
      <c r="P12" s="79" t="s">
        <v>49</v>
      </c>
    </row>
    <row r="13" spans="2:16" ht="13.5" thickBot="1" x14ac:dyDescent="0.25">
      <c r="B13" s="122" t="s">
        <v>21</v>
      </c>
      <c r="C13" s="111">
        <f>'01'!C$46</f>
        <v>20</v>
      </c>
      <c r="D13" s="116">
        <f>'02'!$C$46</f>
        <v>50</v>
      </c>
      <c r="E13" s="116">
        <f>'03'!$C$46</f>
        <v>65</v>
      </c>
      <c r="F13" s="116">
        <f>'04'!$C$46</f>
        <v>500</v>
      </c>
      <c r="G13" s="116">
        <f>'05'!$C$46</f>
        <v>110</v>
      </c>
      <c r="H13" s="116">
        <f>'06'!$C$46</f>
        <v>0</v>
      </c>
      <c r="I13" s="116">
        <f>'07'!$C$46</f>
        <v>10</v>
      </c>
      <c r="J13" s="116">
        <f>'08'!$C$46</f>
        <v>658</v>
      </c>
      <c r="K13" s="116">
        <f>'09'!$C$46</f>
        <v>78</v>
      </c>
      <c r="L13" s="116">
        <f>'10'!$C$46</f>
        <v>30</v>
      </c>
      <c r="M13" s="116">
        <f>'11'!$C$46</f>
        <v>30</v>
      </c>
      <c r="N13" s="116">
        <f>'12'!$C$46</f>
        <v>0</v>
      </c>
      <c r="O13" s="26">
        <f>SUM(C13:N13)</f>
        <v>1551</v>
      </c>
      <c r="P13" s="79" t="s">
        <v>49</v>
      </c>
    </row>
    <row r="14" spans="2:16" ht="13.5" thickBot="1" x14ac:dyDescent="0.25">
      <c r="B14" s="39" t="s">
        <v>36</v>
      </c>
      <c r="C14" s="44">
        <f>'01'!D$46</f>
        <v>167</v>
      </c>
      <c r="D14" s="30">
        <f>'02'!$D$46</f>
        <v>151</v>
      </c>
      <c r="E14" s="30">
        <f>'03'!$D$46</f>
        <v>148</v>
      </c>
      <c r="F14" s="30">
        <f>'04'!$D$46</f>
        <v>684</v>
      </c>
      <c r="G14" s="30">
        <f>'05'!$D$46</f>
        <v>223</v>
      </c>
      <c r="H14" s="30">
        <f>'06'!$D$46</f>
        <v>83</v>
      </c>
      <c r="I14" s="30">
        <f>'07'!$D$46</f>
        <v>83</v>
      </c>
      <c r="J14" s="30">
        <f>'08'!$D$46</f>
        <v>972</v>
      </c>
      <c r="K14" s="30">
        <f>'09'!$D$46</f>
        <v>256</v>
      </c>
      <c r="L14" s="30">
        <f>'10'!$D$46</f>
        <v>176</v>
      </c>
      <c r="M14" s="30">
        <f>'11'!$D$46</f>
        <v>82</v>
      </c>
      <c r="N14" s="30">
        <f>'12'!$D$46</f>
        <v>10</v>
      </c>
      <c r="O14" s="81">
        <f>SUM(C14:N14)</f>
        <v>3035</v>
      </c>
      <c r="P14" s="46" t="s">
        <v>49</v>
      </c>
    </row>
    <row r="15" spans="2:16" x14ac:dyDescent="0.2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6"/>
    </row>
    <row r="16" spans="2:16" ht="16.5" thickBot="1" x14ac:dyDescent="0.3">
      <c r="B16" s="22" t="s">
        <v>37</v>
      </c>
      <c r="O16" s="84" t="s">
        <v>37</v>
      </c>
      <c r="P16" s="21"/>
    </row>
    <row r="17" spans="2:16" ht="16.5" thickBot="1" x14ac:dyDescent="0.3">
      <c r="B17" s="57" t="s">
        <v>61</v>
      </c>
      <c r="C17" s="58">
        <v>1</v>
      </c>
      <c r="D17" s="58">
        <v>2</v>
      </c>
      <c r="E17" s="58">
        <v>3</v>
      </c>
      <c r="F17" s="58">
        <v>4</v>
      </c>
      <c r="G17" s="58">
        <v>5</v>
      </c>
      <c r="H17" s="58">
        <v>6</v>
      </c>
      <c r="I17" s="58">
        <v>7</v>
      </c>
      <c r="J17" s="58">
        <v>8</v>
      </c>
      <c r="K17" s="58">
        <v>9</v>
      </c>
      <c r="L17" s="58">
        <v>10</v>
      </c>
      <c r="M17" s="58">
        <v>11</v>
      </c>
      <c r="N17" s="73">
        <v>12</v>
      </c>
      <c r="O17" s="85" t="s">
        <v>36</v>
      </c>
      <c r="P17" s="45"/>
    </row>
    <row r="18" spans="2:16" ht="13.5" thickBot="1" x14ac:dyDescent="0.25">
      <c r="B18" s="36" t="s">
        <v>43</v>
      </c>
      <c r="C18" s="30">
        <f>'01'!I$46</f>
        <v>17.335000000000001</v>
      </c>
      <c r="D18" s="30">
        <f>'02'!I$46</f>
        <v>15.354999999999999</v>
      </c>
      <c r="E18" s="30">
        <f>'03'!I$46</f>
        <v>14.889999999999999</v>
      </c>
      <c r="F18" s="30">
        <f>'04'!I$46</f>
        <v>66.820000000000007</v>
      </c>
      <c r="G18" s="30">
        <f>'05'!I$46</f>
        <v>22.315000000000001</v>
      </c>
      <c r="H18" s="30">
        <f>'06'!I$46</f>
        <v>8.7149999999999999</v>
      </c>
      <c r="I18" s="30">
        <f>'07'!I$46</f>
        <v>8.6149999999999984</v>
      </c>
      <c r="J18" s="30">
        <f>'08'!I$46</f>
        <v>95.47999999999999</v>
      </c>
      <c r="K18" s="30">
        <f>'09'!I$46</f>
        <v>26.099999999999998</v>
      </c>
      <c r="L18" s="30">
        <f>'10'!I$46</f>
        <v>18.18</v>
      </c>
      <c r="M18" s="30">
        <f>'11'!I$46</f>
        <v>8.31</v>
      </c>
      <c r="N18" s="40">
        <f>'12'!J$46</f>
        <v>53</v>
      </c>
      <c r="O18" s="81">
        <f>SUM(C18:N18)</f>
        <v>355.11500000000001</v>
      </c>
      <c r="P18" s="46" t="s">
        <v>50</v>
      </c>
    </row>
    <row r="19" spans="2:16" ht="13.5" thickBot="1" x14ac:dyDescent="0.25">
      <c r="B19" s="36" t="s">
        <v>44</v>
      </c>
      <c r="C19" s="30">
        <f>'01'!I$50</f>
        <v>0</v>
      </c>
      <c r="D19" s="30">
        <f>'02'!I$50</f>
        <v>0</v>
      </c>
      <c r="E19" s="30">
        <f>'03'!I$50</f>
        <v>12.001339999999999</v>
      </c>
      <c r="F19" s="30">
        <f>'04'!I$50</f>
        <v>71.965140000000005</v>
      </c>
      <c r="G19" s="30">
        <f>'05'!I$50</f>
        <v>24.033255</v>
      </c>
      <c r="H19" s="30">
        <f>'06'!I$50</f>
        <v>9.3860549999999989</v>
      </c>
      <c r="I19" s="30">
        <f>'07'!I$50</f>
        <v>9.2783549999999977</v>
      </c>
      <c r="J19" s="30">
        <f>'08'!I$50</f>
        <v>92.80655999999999</v>
      </c>
      <c r="K19" s="30">
        <f>'09'!I$50</f>
        <v>25.369199999999996</v>
      </c>
      <c r="L19" s="30">
        <f>'10'!I$50</f>
        <v>17.670960000000001</v>
      </c>
      <c r="M19" s="30">
        <f>'11'!I$50</f>
        <v>8.0773200000000003</v>
      </c>
      <c r="N19" s="40">
        <f>'12'!J$50</f>
        <v>53</v>
      </c>
      <c r="O19" s="81">
        <f>SUM(C19:N19)</f>
        <v>323.58818499999995</v>
      </c>
      <c r="P19" s="46" t="s">
        <v>71</v>
      </c>
    </row>
    <row r="20" spans="2:16" ht="13.5" thickBot="1" x14ac:dyDescent="0.25">
      <c r="B20" s="42" t="s">
        <v>53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42"/>
      <c r="O20" s="42" t="s">
        <v>53</v>
      </c>
      <c r="P20" s="21"/>
    </row>
    <row r="21" spans="2:16" ht="16.5" thickBot="1" x14ac:dyDescent="0.3">
      <c r="B21" s="57" t="s">
        <v>61</v>
      </c>
      <c r="C21" s="58">
        <v>1</v>
      </c>
      <c r="D21" s="58">
        <v>2</v>
      </c>
      <c r="E21" s="58">
        <v>3</v>
      </c>
      <c r="F21" s="58">
        <v>4</v>
      </c>
      <c r="G21" s="58">
        <v>5</v>
      </c>
      <c r="H21" s="58">
        <v>6</v>
      </c>
      <c r="I21" s="58">
        <v>7</v>
      </c>
      <c r="J21" s="58">
        <v>8</v>
      </c>
      <c r="K21" s="58">
        <v>9</v>
      </c>
      <c r="L21" s="58">
        <v>10</v>
      </c>
      <c r="M21" s="58">
        <v>11</v>
      </c>
      <c r="N21" s="73">
        <v>12</v>
      </c>
      <c r="O21" s="86" t="s">
        <v>59</v>
      </c>
      <c r="P21" s="45"/>
    </row>
    <row r="22" spans="2:16" ht="13.5" thickBot="1" x14ac:dyDescent="0.25">
      <c r="B22" s="41" t="s">
        <v>54</v>
      </c>
      <c r="C22" s="43">
        <f t="shared" ref="C22:O22" si="0">IF(C14&gt;0,(C18/C14)*100,0)</f>
        <v>10.380239520958085</v>
      </c>
      <c r="D22" s="43">
        <f t="shared" si="0"/>
        <v>10.168874172185429</v>
      </c>
      <c r="E22" s="43">
        <f t="shared" si="0"/>
        <v>10.060810810810809</v>
      </c>
      <c r="F22" s="43">
        <f t="shared" si="0"/>
        <v>9.7690058479532169</v>
      </c>
      <c r="G22" s="43">
        <f t="shared" si="0"/>
        <v>10.006726457399104</v>
      </c>
      <c r="H22" s="43">
        <f t="shared" si="0"/>
        <v>10.5</v>
      </c>
      <c r="I22" s="43">
        <f t="shared" si="0"/>
        <v>10.379518072289155</v>
      </c>
      <c r="J22" s="43">
        <f t="shared" si="0"/>
        <v>9.8230452674897109</v>
      </c>
      <c r="K22" s="43">
        <f t="shared" si="0"/>
        <v>10.1953125</v>
      </c>
      <c r="L22" s="43">
        <f t="shared" si="0"/>
        <v>10.329545454545453</v>
      </c>
      <c r="M22" s="43">
        <f t="shared" si="0"/>
        <v>10.134146341463415</v>
      </c>
      <c r="N22" s="77">
        <f t="shared" si="0"/>
        <v>530</v>
      </c>
      <c r="O22" s="80">
        <f t="shared" si="0"/>
        <v>11.700658978583196</v>
      </c>
      <c r="P22" s="46" t="s">
        <v>50</v>
      </c>
    </row>
    <row r="23" spans="2:16" x14ac:dyDescent="0.2"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26"/>
    </row>
    <row r="24" spans="2:16" ht="16.5" thickBot="1" x14ac:dyDescent="0.3">
      <c r="B24" s="37" t="s">
        <v>52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37" t="s">
        <v>60</v>
      </c>
    </row>
    <row r="25" spans="2:16" ht="16.5" thickBot="1" x14ac:dyDescent="0.3">
      <c r="B25" s="57" t="s">
        <v>61</v>
      </c>
      <c r="C25" s="58">
        <v>1</v>
      </c>
      <c r="D25" s="58">
        <v>2</v>
      </c>
      <c r="E25" s="58">
        <v>3</v>
      </c>
      <c r="F25" s="58">
        <v>4</v>
      </c>
      <c r="G25" s="58">
        <v>5</v>
      </c>
      <c r="H25" s="58">
        <v>6</v>
      </c>
      <c r="I25" s="58">
        <v>7</v>
      </c>
      <c r="J25" s="58">
        <v>8</v>
      </c>
      <c r="K25" s="58">
        <v>9</v>
      </c>
      <c r="L25" s="58">
        <v>10</v>
      </c>
      <c r="M25" s="58">
        <v>11</v>
      </c>
      <c r="N25" s="73">
        <v>12</v>
      </c>
      <c r="O25" s="83"/>
      <c r="P25" s="45"/>
    </row>
    <row r="26" spans="2:16" ht="13.5" thickBot="1" x14ac:dyDescent="0.25">
      <c r="B26" s="38" t="s">
        <v>43</v>
      </c>
      <c r="C26" s="76">
        <f>IF(C14&gt;0,'01'!$O46,"Bez zmeny")</f>
        <v>62.355000000000011</v>
      </c>
      <c r="D26" s="76">
        <f>IF(D14&gt;0,'02'!$L46,"Bez zmeny")</f>
        <v>0</v>
      </c>
      <c r="E26" s="76">
        <f>IF(E14&gt;0,'03'!$L46,"Bez zmeny")</f>
        <v>0</v>
      </c>
      <c r="F26" s="76">
        <f>IF(F14&gt;0,'04'!$L46,"Bez zmeny")</f>
        <v>0</v>
      </c>
      <c r="G26" s="76">
        <f>IF(G14&gt;0,'05'!$L46,"Bez zmeny")</f>
        <v>0</v>
      </c>
      <c r="H26" s="76">
        <f>IF(H14&gt;0,'06'!$L46,"Bez zmeny")</f>
        <v>0</v>
      </c>
      <c r="I26" s="76">
        <f>IF(I14&gt;0,'07'!$L46,"Bez zmeny")</f>
        <v>0</v>
      </c>
      <c r="J26" s="76">
        <f>IF(J14&gt;0,'08'!$L46,"Bez zmeny")</f>
        <v>0</v>
      </c>
      <c r="K26" s="76">
        <f>IF(K14&gt;0,'09'!$L46,"Bez zmeny")</f>
        <v>0</v>
      </c>
      <c r="L26" s="76">
        <f>IF(L14&gt;0,'10'!$L46,"Bez zmeny")</f>
        <v>0</v>
      </c>
      <c r="M26" s="76">
        <f>IF(M14&gt;0,'11'!$L46,"Bez zmeny")</f>
        <v>0</v>
      </c>
      <c r="N26" s="76">
        <f>IF(N14&gt;0,'12'!$L46,"Bez zmeny")</f>
        <v>0</v>
      </c>
      <c r="O26" s="81">
        <f>'12'!L7</f>
        <v>88.025000000000034</v>
      </c>
      <c r="P26" s="46" t="s">
        <v>50</v>
      </c>
    </row>
    <row r="28" spans="2:16" ht="16.5" thickBot="1" x14ac:dyDescent="0.3">
      <c r="B28" s="22" t="s">
        <v>48</v>
      </c>
      <c r="O28" s="22" t="s">
        <v>48</v>
      </c>
    </row>
    <row r="29" spans="2:16" ht="26.25" thickBot="1" x14ac:dyDescent="0.25">
      <c r="B29" s="74" t="s">
        <v>42</v>
      </c>
      <c r="C29" s="23">
        <v>1</v>
      </c>
      <c r="D29" s="24">
        <v>2</v>
      </c>
      <c r="E29" s="24">
        <v>3</v>
      </c>
      <c r="F29" s="24">
        <v>4</v>
      </c>
      <c r="G29" s="24">
        <v>5</v>
      </c>
      <c r="H29" s="24">
        <v>6</v>
      </c>
      <c r="I29" s="24">
        <v>7</v>
      </c>
      <c r="J29" s="24">
        <v>8</v>
      </c>
      <c r="K29" s="24">
        <v>9</v>
      </c>
      <c r="L29" s="25">
        <v>10</v>
      </c>
      <c r="M29" s="25">
        <v>11</v>
      </c>
      <c r="N29" s="75">
        <v>12</v>
      </c>
      <c r="O29" s="82" t="s">
        <v>36</v>
      </c>
      <c r="P29" s="45"/>
    </row>
    <row r="30" spans="2:16" ht="13.5" thickBot="1" x14ac:dyDescent="0.25">
      <c r="B30" s="36" t="s">
        <v>43</v>
      </c>
      <c r="C30" s="30">
        <f>'01'!$J$50</f>
        <v>0</v>
      </c>
      <c r="D30" s="30">
        <f>'02'!$J$50</f>
        <v>0</v>
      </c>
      <c r="E30" s="30">
        <f>'03'!$J$50</f>
        <v>55</v>
      </c>
      <c r="F30" s="30">
        <f>'04'!$J$50</f>
        <v>68</v>
      </c>
      <c r="G30" s="30">
        <f>'05'!$J$50</f>
        <v>0</v>
      </c>
      <c r="H30" s="30">
        <f>'06'!$J$50</f>
        <v>0</v>
      </c>
      <c r="I30" s="30">
        <f>'07'!$J$50</f>
        <v>0</v>
      </c>
      <c r="J30" s="30">
        <f>'08'!$J$50</f>
        <v>135.5</v>
      </c>
      <c r="K30" s="30">
        <f>'09'!$J$50</f>
        <v>0</v>
      </c>
      <c r="L30" s="30">
        <f>'10'!$J$50</f>
        <v>0</v>
      </c>
      <c r="M30" s="30">
        <f>'11'!$J$50</f>
        <v>0</v>
      </c>
      <c r="N30" s="30">
        <f>'12'!$J$50</f>
        <v>53</v>
      </c>
      <c r="O30" s="78">
        <f>SUM(C30:N30)</f>
        <v>311.5</v>
      </c>
      <c r="P30" s="79" t="s">
        <v>50</v>
      </c>
    </row>
    <row r="31" spans="2:16" s="21" customFormat="1" ht="13.5" thickBot="1" x14ac:dyDescent="0.25">
      <c r="B31" s="36" t="s">
        <v>44</v>
      </c>
      <c r="C31" s="30">
        <f>'01'!$K$50</f>
        <v>0</v>
      </c>
      <c r="D31" s="30">
        <f>'02'!$K$50</f>
        <v>0</v>
      </c>
      <c r="E31" s="30">
        <f>'03'!$K$50</f>
        <v>82.17</v>
      </c>
      <c r="F31" s="30">
        <f>'04'!$K$50</f>
        <v>96.83</v>
      </c>
      <c r="G31" s="30">
        <f>'05'!$K$50</f>
        <v>0</v>
      </c>
      <c r="H31" s="30">
        <f>'06'!$K$50</f>
        <v>0</v>
      </c>
      <c r="I31" s="30">
        <f>'07'!$K$50</f>
        <v>0</v>
      </c>
      <c r="J31" s="30">
        <f>'08'!$K$50</f>
        <v>126.65</v>
      </c>
      <c r="K31" s="30">
        <f>'09'!$K$50</f>
        <v>0</v>
      </c>
      <c r="L31" s="30">
        <f>'10'!$K$50</f>
        <v>0</v>
      </c>
      <c r="M31" s="30">
        <f>'11'!$K$50</f>
        <v>0</v>
      </c>
      <c r="N31" s="30">
        <f>'12'!$K$50</f>
        <v>78.92</v>
      </c>
      <c r="O31" s="81">
        <f>SUM(C31:N31)</f>
        <v>384.57</v>
      </c>
      <c r="P31" s="46" t="s">
        <v>71</v>
      </c>
    </row>
    <row r="32" spans="2:16" s="21" customFormat="1" x14ac:dyDescent="0.2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8"/>
      <c r="O32" s="26"/>
    </row>
    <row r="33" spans="1:16" ht="15" x14ac:dyDescent="0.2">
      <c r="B33" s="27"/>
      <c r="D33" s="28"/>
      <c r="E33" s="33" t="s">
        <v>46</v>
      </c>
      <c r="F33" s="230">
        <f ca="1">NOW()</f>
        <v>45994.678404976854</v>
      </c>
      <c r="G33" s="230"/>
      <c r="H33" s="28"/>
      <c r="I33" s="28"/>
      <c r="J33" s="34" t="s">
        <v>47</v>
      </c>
      <c r="K33" s="35"/>
      <c r="L33" s="29"/>
      <c r="M33" s="29"/>
      <c r="N33" s="28"/>
      <c r="O33" s="26"/>
    </row>
    <row r="34" spans="1:16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29"/>
      <c r="N34" s="28"/>
      <c r="O34" s="26"/>
    </row>
    <row r="35" spans="1:16" x14ac:dyDescent="0.2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  <c r="M35" s="29"/>
      <c r="N35" s="28"/>
      <c r="O35" s="26"/>
    </row>
    <row r="36" spans="1:16" ht="18" x14ac:dyDescent="0.25">
      <c r="A36" s="176"/>
      <c r="B36" s="229" t="s">
        <v>112</v>
      </c>
      <c r="C36" s="229"/>
      <c r="D36" s="177"/>
      <c r="E36" s="177"/>
      <c r="F36" s="177"/>
      <c r="G36" s="177"/>
      <c r="H36" s="177"/>
      <c r="I36" s="177"/>
      <c r="J36" s="177"/>
      <c r="K36" s="177"/>
      <c r="L36" s="178"/>
      <c r="M36" s="178"/>
      <c r="N36" s="177"/>
      <c r="O36" s="179"/>
      <c r="P36" s="176"/>
    </row>
    <row r="37" spans="1:16" s="171" customFormat="1" ht="16.5" x14ac:dyDescent="0.3">
      <c r="A37" s="180"/>
      <c r="B37" s="180"/>
      <c r="C37" s="181" t="s">
        <v>40</v>
      </c>
      <c r="D37" s="195" t="str">
        <f>C4</f>
        <v>BB215GN</v>
      </c>
      <c r="E37" s="183" t="s">
        <v>122</v>
      </c>
      <c r="F37" s="195" t="str">
        <f>C7</f>
        <v>B45539</v>
      </c>
      <c r="G37" s="184" t="s">
        <v>123</v>
      </c>
      <c r="H37" s="199" t="str">
        <f>C5</f>
        <v>dodávka</v>
      </c>
      <c r="I37" s="199"/>
      <c r="J37" s="199"/>
      <c r="K37" s="180"/>
      <c r="L37" s="180"/>
      <c r="M37" s="180"/>
      <c r="N37" s="180"/>
      <c r="O37" s="180"/>
      <c r="P37" s="180"/>
    </row>
    <row r="38" spans="1:16" s="171" customFormat="1" ht="16.5" x14ac:dyDescent="0.3">
      <c r="A38" s="180"/>
      <c r="B38" s="180"/>
      <c r="C38" s="185"/>
      <c r="D38" s="182"/>
      <c r="E38" s="183"/>
      <c r="F38" s="182"/>
      <c r="G38" s="186" t="s">
        <v>119</v>
      </c>
      <c r="H38" s="200"/>
      <c r="I38" s="201"/>
      <c r="J38" s="202"/>
      <c r="K38" s="182"/>
      <c r="L38" s="187" t="s">
        <v>115</v>
      </c>
      <c r="M38" s="193"/>
      <c r="N38" s="193"/>
      <c r="O38" s="218"/>
      <c r="P38" s="218"/>
    </row>
    <row r="39" spans="1:16" s="171" customFormat="1" ht="16.5" x14ac:dyDescent="0.3">
      <c r="A39" s="180"/>
      <c r="B39" s="180"/>
      <c r="C39" s="185" t="s">
        <v>121</v>
      </c>
      <c r="D39" s="193"/>
      <c r="E39" s="193"/>
      <c r="F39" s="182"/>
      <c r="G39" s="186" t="s">
        <v>120</v>
      </c>
      <c r="H39" s="200"/>
      <c r="I39" s="201"/>
      <c r="J39" s="202"/>
      <c r="K39" s="182"/>
      <c r="L39" s="187"/>
      <c r="M39" s="188"/>
      <c r="N39" s="188"/>
      <c r="O39" s="188"/>
      <c r="P39" s="188"/>
    </row>
    <row r="40" spans="1:16" ht="16.5" x14ac:dyDescent="0.3">
      <c r="C40" s="210" t="s">
        <v>86</v>
      </c>
      <c r="D40" s="211"/>
      <c r="E40" s="212"/>
      <c r="F40" s="172" t="s">
        <v>84</v>
      </c>
      <c r="G40" s="207" t="s">
        <v>85</v>
      </c>
      <c r="H40" s="208"/>
      <c r="I40" s="209"/>
      <c r="J40" s="210" t="s">
        <v>82</v>
      </c>
      <c r="K40" s="211"/>
      <c r="L40" s="212"/>
      <c r="M40" s="172" t="s">
        <v>84</v>
      </c>
      <c r="N40" s="207" t="s">
        <v>85</v>
      </c>
      <c r="O40" s="208"/>
      <c r="P40" s="209"/>
    </row>
    <row r="41" spans="1:16" ht="16.5" x14ac:dyDescent="0.3">
      <c r="C41" s="196" t="s">
        <v>90</v>
      </c>
      <c r="D41" s="197"/>
      <c r="E41" s="198"/>
      <c r="F41" s="173" t="s">
        <v>83</v>
      </c>
      <c r="G41" s="196"/>
      <c r="H41" s="197"/>
      <c r="I41" s="198"/>
      <c r="J41" s="196" t="s">
        <v>102</v>
      </c>
      <c r="K41" s="197"/>
      <c r="L41" s="198"/>
      <c r="M41" s="173" t="s">
        <v>83</v>
      </c>
      <c r="N41" s="196" t="s">
        <v>133</v>
      </c>
      <c r="O41" s="197"/>
      <c r="P41" s="198"/>
    </row>
    <row r="42" spans="1:16" ht="16.5" x14ac:dyDescent="0.3">
      <c r="C42" s="196" t="s">
        <v>91</v>
      </c>
      <c r="D42" s="197"/>
      <c r="E42" s="198"/>
      <c r="F42" s="173" t="s">
        <v>83</v>
      </c>
      <c r="G42" s="196"/>
      <c r="H42" s="197"/>
      <c r="I42" s="198"/>
      <c r="J42" s="196" t="s">
        <v>87</v>
      </c>
      <c r="K42" s="197"/>
      <c r="L42" s="198"/>
      <c r="M42" s="173" t="s">
        <v>81</v>
      </c>
      <c r="N42" s="196" t="s">
        <v>80</v>
      </c>
      <c r="O42" s="197"/>
      <c r="P42" s="198"/>
    </row>
    <row r="43" spans="1:16" ht="16.5" x14ac:dyDescent="0.3">
      <c r="C43" s="196" t="s">
        <v>92</v>
      </c>
      <c r="D43" s="197"/>
      <c r="E43" s="198"/>
      <c r="F43" s="173">
        <v>2</v>
      </c>
      <c r="G43" s="196"/>
      <c r="H43" s="197"/>
      <c r="I43" s="198"/>
      <c r="J43" s="196" t="s">
        <v>134</v>
      </c>
      <c r="K43" s="197"/>
      <c r="L43" s="198"/>
      <c r="M43" s="173">
        <v>4</v>
      </c>
      <c r="N43" s="196" t="s">
        <v>111</v>
      </c>
      <c r="O43" s="197"/>
      <c r="P43" s="198"/>
    </row>
    <row r="44" spans="1:16" ht="16.5" x14ac:dyDescent="0.3">
      <c r="C44" s="196" t="s">
        <v>93</v>
      </c>
      <c r="D44" s="197"/>
      <c r="E44" s="198"/>
      <c r="F44" s="173" t="s">
        <v>83</v>
      </c>
      <c r="G44" s="196"/>
      <c r="H44" s="197"/>
      <c r="I44" s="198"/>
      <c r="J44" s="196" t="s">
        <v>88</v>
      </c>
      <c r="K44" s="197"/>
      <c r="L44" s="198"/>
      <c r="M44" s="173">
        <v>4</v>
      </c>
      <c r="N44" s="196" t="s">
        <v>80</v>
      </c>
      <c r="O44" s="197"/>
      <c r="P44" s="198"/>
    </row>
    <row r="45" spans="1:16" ht="16.5" x14ac:dyDescent="0.3">
      <c r="C45" s="196" t="s">
        <v>94</v>
      </c>
      <c r="D45" s="197"/>
      <c r="E45" s="198"/>
      <c r="F45" s="173" t="s">
        <v>83</v>
      </c>
      <c r="G45" s="196" t="s">
        <v>89</v>
      </c>
      <c r="H45" s="197"/>
      <c r="I45" s="198"/>
      <c r="J45" s="196" t="s">
        <v>135</v>
      </c>
      <c r="K45" s="197"/>
      <c r="L45" s="198"/>
      <c r="M45" s="173">
        <v>4</v>
      </c>
      <c r="N45" s="196" t="s">
        <v>110</v>
      </c>
      <c r="O45" s="197"/>
      <c r="P45" s="198"/>
    </row>
    <row r="46" spans="1:16" ht="16.5" x14ac:dyDescent="0.3">
      <c r="C46" s="196" t="s">
        <v>95</v>
      </c>
      <c r="D46" s="197"/>
      <c r="E46" s="198"/>
      <c r="F46" s="173" t="s">
        <v>83</v>
      </c>
      <c r="G46" s="196"/>
      <c r="H46" s="197"/>
      <c r="I46" s="198"/>
      <c r="J46" s="196"/>
      <c r="K46" s="197"/>
      <c r="L46" s="198"/>
      <c r="M46" s="173"/>
      <c r="N46" s="196"/>
      <c r="O46" s="197"/>
      <c r="P46" s="198"/>
    </row>
    <row r="47" spans="1:16" ht="16.5" x14ac:dyDescent="0.3">
      <c r="C47" s="196" t="s">
        <v>96</v>
      </c>
      <c r="D47" s="197"/>
      <c r="E47" s="198"/>
      <c r="F47" s="173" t="s">
        <v>83</v>
      </c>
      <c r="G47" s="196"/>
      <c r="H47" s="197"/>
      <c r="I47" s="198"/>
      <c r="J47" s="196" t="s">
        <v>104</v>
      </c>
      <c r="K47" s="197"/>
      <c r="L47" s="198"/>
      <c r="M47" s="173"/>
      <c r="N47" s="196"/>
      <c r="O47" s="197"/>
      <c r="P47" s="198"/>
    </row>
    <row r="48" spans="1:16" ht="16.5" x14ac:dyDescent="0.3">
      <c r="C48" s="196" t="s">
        <v>97</v>
      </c>
      <c r="D48" s="197"/>
      <c r="E48" s="198"/>
      <c r="F48" s="173" t="s">
        <v>83</v>
      </c>
      <c r="G48" s="196" t="s">
        <v>131</v>
      </c>
      <c r="H48" s="197"/>
      <c r="I48" s="198"/>
      <c r="J48" s="196" t="s">
        <v>105</v>
      </c>
      <c r="K48" s="197"/>
      <c r="L48" s="198"/>
      <c r="M48" s="173" t="s">
        <v>83</v>
      </c>
      <c r="N48" s="196"/>
      <c r="O48" s="197"/>
      <c r="P48" s="198"/>
    </row>
    <row r="49" spans="3:16" ht="16.5" x14ac:dyDescent="0.3">
      <c r="C49" s="196" t="s">
        <v>98</v>
      </c>
      <c r="D49" s="197"/>
      <c r="E49" s="198"/>
      <c r="F49" s="173" t="s">
        <v>83</v>
      </c>
      <c r="G49" s="196" t="s">
        <v>130</v>
      </c>
      <c r="H49" s="197"/>
      <c r="I49" s="198"/>
      <c r="J49" s="196" t="s">
        <v>103</v>
      </c>
      <c r="K49" s="197"/>
      <c r="L49" s="198"/>
      <c r="M49" s="173" t="s">
        <v>83</v>
      </c>
      <c r="N49" s="196"/>
      <c r="O49" s="197"/>
      <c r="P49" s="198"/>
    </row>
    <row r="50" spans="3:16" ht="16.5" x14ac:dyDescent="0.3">
      <c r="C50" s="196" t="s">
        <v>99</v>
      </c>
      <c r="D50" s="197"/>
      <c r="E50" s="198"/>
      <c r="F50" s="173" t="s">
        <v>132</v>
      </c>
      <c r="G50" s="196"/>
      <c r="H50" s="197"/>
      <c r="I50" s="198"/>
      <c r="J50" s="196" t="s">
        <v>106</v>
      </c>
      <c r="K50" s="197"/>
      <c r="L50" s="198"/>
      <c r="M50" s="173" t="s">
        <v>83</v>
      </c>
      <c r="N50" s="196"/>
      <c r="O50" s="197"/>
      <c r="P50" s="198"/>
    </row>
    <row r="51" spans="3:16" ht="16.5" x14ac:dyDescent="0.3">
      <c r="C51" s="196" t="s">
        <v>100</v>
      </c>
      <c r="D51" s="197"/>
      <c r="E51" s="198"/>
      <c r="F51" s="173" t="s">
        <v>132</v>
      </c>
      <c r="G51" s="196" t="s">
        <v>101</v>
      </c>
      <c r="H51" s="197"/>
      <c r="I51" s="198"/>
      <c r="J51" s="196" t="s">
        <v>107</v>
      </c>
      <c r="K51" s="197"/>
      <c r="L51" s="198"/>
      <c r="M51" s="173" t="s">
        <v>83</v>
      </c>
      <c r="N51" s="196"/>
      <c r="O51" s="197"/>
      <c r="P51" s="198"/>
    </row>
    <row r="52" spans="3:16" ht="16.5" x14ac:dyDescent="0.3">
      <c r="C52" s="216"/>
      <c r="D52" s="216"/>
      <c r="E52" s="216"/>
      <c r="F52" s="173"/>
      <c r="G52" s="216"/>
      <c r="H52" s="216"/>
      <c r="I52" s="216"/>
      <c r="J52" s="196" t="s">
        <v>109</v>
      </c>
      <c r="K52" s="197"/>
      <c r="L52" s="198"/>
      <c r="M52" s="173" t="s">
        <v>83</v>
      </c>
      <c r="N52" s="196"/>
      <c r="O52" s="197"/>
      <c r="P52" s="198"/>
    </row>
    <row r="53" spans="3:16" ht="16.5" x14ac:dyDescent="0.3">
      <c r="C53" s="203"/>
      <c r="D53" s="203"/>
      <c r="E53" s="203"/>
      <c r="F53" s="174"/>
      <c r="G53" s="203"/>
      <c r="H53" s="203"/>
      <c r="I53" s="203"/>
      <c r="J53" s="203"/>
      <c r="K53" s="203"/>
      <c r="L53" s="203"/>
      <c r="M53" s="174"/>
      <c r="N53" s="203"/>
      <c r="O53" s="203"/>
      <c r="P53" s="203"/>
    </row>
    <row r="54" spans="3:16" s="21" customFormat="1" ht="16.5" x14ac:dyDescent="0.3">
      <c r="C54" s="217" t="s">
        <v>113</v>
      </c>
      <c r="D54" s="217"/>
      <c r="E54" s="217"/>
      <c r="F54" s="175" t="s">
        <v>84</v>
      </c>
      <c r="G54" s="204" t="s">
        <v>85</v>
      </c>
      <c r="H54" s="205"/>
      <c r="I54" s="206"/>
      <c r="J54" s="204" t="s">
        <v>108</v>
      </c>
      <c r="K54" s="205"/>
      <c r="L54" s="206"/>
      <c r="M54" s="175" t="s">
        <v>84</v>
      </c>
      <c r="N54" s="213" t="s">
        <v>85</v>
      </c>
      <c r="O54" s="214"/>
      <c r="P54" s="215"/>
    </row>
    <row r="55" spans="3:16" ht="16.5" x14ac:dyDescent="0.3">
      <c r="C55" s="196" t="s">
        <v>114</v>
      </c>
      <c r="D55" s="197"/>
      <c r="E55" s="198"/>
      <c r="F55" s="173"/>
      <c r="G55" s="196"/>
      <c r="H55" s="197"/>
      <c r="I55" s="198"/>
      <c r="J55" s="196" t="s">
        <v>124</v>
      </c>
      <c r="K55" s="197"/>
      <c r="L55" s="198"/>
      <c r="M55" s="173"/>
      <c r="N55" s="196"/>
      <c r="O55" s="197"/>
      <c r="P55" s="198"/>
    </row>
    <row r="56" spans="3:16" ht="16.5" x14ac:dyDescent="0.3">
      <c r="C56" s="196" t="s">
        <v>127</v>
      </c>
      <c r="D56" s="197"/>
      <c r="E56" s="198"/>
      <c r="F56" s="173"/>
      <c r="G56" s="196"/>
      <c r="H56" s="197"/>
      <c r="I56" s="198"/>
      <c r="J56" s="196" t="s">
        <v>129</v>
      </c>
      <c r="K56" s="197"/>
      <c r="L56" s="198"/>
      <c r="M56" s="173"/>
      <c r="N56" s="196"/>
      <c r="O56" s="197"/>
      <c r="P56" s="198"/>
    </row>
    <row r="57" spans="3:16" ht="16.5" x14ac:dyDescent="0.3">
      <c r="C57" s="196" t="s">
        <v>128</v>
      </c>
      <c r="D57" s="197"/>
      <c r="E57" s="198"/>
      <c r="F57" s="173"/>
      <c r="G57" s="196"/>
      <c r="H57" s="197"/>
      <c r="I57" s="198"/>
      <c r="J57" s="196" t="s">
        <v>125</v>
      </c>
      <c r="K57" s="197"/>
      <c r="L57" s="198"/>
      <c r="M57" s="173"/>
      <c r="N57" s="196"/>
      <c r="O57" s="197"/>
      <c r="P57" s="198"/>
    </row>
    <row r="58" spans="3:16" ht="16.5" x14ac:dyDescent="0.3">
      <c r="C58" s="196"/>
      <c r="D58" s="197"/>
      <c r="E58" s="198"/>
      <c r="F58" s="173"/>
      <c r="G58" s="196"/>
      <c r="H58" s="197"/>
      <c r="I58" s="198"/>
      <c r="J58" s="196" t="s">
        <v>126</v>
      </c>
      <c r="K58" s="197"/>
      <c r="L58" s="198"/>
      <c r="M58" s="173"/>
      <c r="N58" s="196"/>
      <c r="O58" s="197"/>
      <c r="P58" s="198"/>
    </row>
    <row r="59" spans="3:16" ht="16.5" x14ac:dyDescent="0.3">
      <c r="C59" s="196"/>
      <c r="D59" s="197"/>
      <c r="E59" s="198"/>
      <c r="F59" s="173"/>
      <c r="G59" s="196"/>
      <c r="H59" s="197"/>
      <c r="I59" s="198"/>
      <c r="J59" s="196"/>
      <c r="K59" s="197"/>
      <c r="L59" s="198"/>
      <c r="M59" s="173"/>
      <c r="N59" s="196"/>
      <c r="O59" s="197"/>
      <c r="P59" s="198"/>
    </row>
    <row r="60" spans="3:16" ht="16.5" x14ac:dyDescent="0.3">
      <c r="C60" s="196"/>
      <c r="D60" s="197"/>
      <c r="E60" s="198"/>
      <c r="F60" s="173"/>
      <c r="G60" s="196"/>
      <c r="H60" s="197"/>
      <c r="I60" s="198"/>
      <c r="J60" s="196"/>
      <c r="K60" s="197"/>
      <c r="L60" s="198"/>
      <c r="M60" s="173"/>
      <c r="N60" s="196"/>
      <c r="O60" s="197"/>
      <c r="P60" s="198"/>
    </row>
    <row r="61" spans="3:16" ht="16.5" x14ac:dyDescent="0.3">
      <c r="C61" s="196"/>
      <c r="D61" s="197"/>
      <c r="E61" s="198"/>
      <c r="F61" s="173"/>
      <c r="G61" s="196"/>
      <c r="H61" s="197"/>
      <c r="I61" s="198"/>
      <c r="J61" s="196"/>
      <c r="K61" s="197"/>
      <c r="L61" s="198"/>
      <c r="M61" s="173"/>
      <c r="N61" s="196"/>
      <c r="O61" s="197"/>
      <c r="P61" s="198"/>
    </row>
    <row r="62" spans="3:16" ht="16.5" x14ac:dyDescent="0.3">
      <c r="C62" s="196"/>
      <c r="D62" s="197"/>
      <c r="E62" s="198"/>
      <c r="F62" s="173"/>
      <c r="G62" s="196"/>
      <c r="H62" s="197"/>
      <c r="I62" s="198"/>
      <c r="J62" s="196"/>
      <c r="K62" s="197"/>
      <c r="L62" s="198"/>
      <c r="M62" s="173"/>
      <c r="N62" s="196"/>
      <c r="O62" s="197"/>
      <c r="P62" s="198"/>
    </row>
    <row r="63" spans="3:16" s="176" customFormat="1" ht="16.5" x14ac:dyDescent="0.3">
      <c r="C63" s="196"/>
      <c r="D63" s="197"/>
      <c r="E63" s="198"/>
      <c r="F63" s="173"/>
      <c r="G63" s="196"/>
      <c r="H63" s="197"/>
      <c r="I63" s="198"/>
      <c r="J63" s="196"/>
      <c r="K63" s="197"/>
      <c r="L63" s="198"/>
      <c r="M63" s="173"/>
      <c r="N63" s="196"/>
      <c r="O63" s="197"/>
      <c r="P63" s="198"/>
    </row>
    <row r="64" spans="3:16" s="176" customFormat="1" x14ac:dyDescent="0.2"/>
    <row r="65" spans="2:15" s="176" customFormat="1" ht="14.25" x14ac:dyDescent="0.2">
      <c r="B65" s="189"/>
      <c r="H65" s="177"/>
      <c r="I65" s="177"/>
      <c r="J65" s="190" t="s">
        <v>116</v>
      </c>
      <c r="K65" s="219">
        <f>M38</f>
        <v>0</v>
      </c>
      <c r="L65" s="219"/>
      <c r="M65" s="219">
        <f>O38</f>
        <v>0</v>
      </c>
      <c r="N65" s="219"/>
      <c r="O65" s="179"/>
    </row>
    <row r="66" spans="2:15" s="176" customFormat="1" x14ac:dyDescent="0.2"/>
    <row r="67" spans="2:15" s="176" customFormat="1" ht="15" x14ac:dyDescent="0.2">
      <c r="D67" s="177"/>
      <c r="E67" s="191" t="s">
        <v>46</v>
      </c>
      <c r="F67" s="220" t="s">
        <v>117</v>
      </c>
      <c r="G67" s="220"/>
      <c r="L67" s="192" t="s">
        <v>117</v>
      </c>
      <c r="M67" s="192" t="s">
        <v>117</v>
      </c>
      <c r="N67" s="192" t="s">
        <v>117</v>
      </c>
    </row>
    <row r="68" spans="2:15" x14ac:dyDescent="0.2">
      <c r="M68" s="170" t="s">
        <v>118</v>
      </c>
    </row>
  </sheetData>
  <sheetProtection password="C6F6" sheet="1"/>
  <mergeCells count="115">
    <mergeCell ref="F8:G8"/>
    <mergeCell ref="C6:D6"/>
    <mergeCell ref="H8:I8"/>
    <mergeCell ref="F9:G9"/>
    <mergeCell ref="H9:I9"/>
    <mergeCell ref="C7:D7"/>
    <mergeCell ref="C62:E62"/>
    <mergeCell ref="G62:I62"/>
    <mergeCell ref="J62:L62"/>
    <mergeCell ref="N62:P62"/>
    <mergeCell ref="L4:M4"/>
    <mergeCell ref="L5:M5"/>
    <mergeCell ref="C4:D4"/>
    <mergeCell ref="C5:D5"/>
    <mergeCell ref="B36:C36"/>
    <mergeCell ref="F33:G33"/>
    <mergeCell ref="O38:P38"/>
    <mergeCell ref="K65:L65"/>
    <mergeCell ref="M65:N65"/>
    <mergeCell ref="F67:G67"/>
    <mergeCell ref="J52:L52"/>
    <mergeCell ref="G52:I52"/>
    <mergeCell ref="J47:L47"/>
    <mergeCell ref="G44:I44"/>
    <mergeCell ref="G45:I45"/>
    <mergeCell ref="J48:L48"/>
    <mergeCell ref="C40:E40"/>
    <mergeCell ref="C41:E41"/>
    <mergeCell ref="C42:E42"/>
    <mergeCell ref="C43:E43"/>
    <mergeCell ref="C44:E44"/>
    <mergeCell ref="C45:E45"/>
    <mergeCell ref="C55:E55"/>
    <mergeCell ref="C56:E56"/>
    <mergeCell ref="C57:E57"/>
    <mergeCell ref="C46:E46"/>
    <mergeCell ref="C47:E47"/>
    <mergeCell ref="C48:E48"/>
    <mergeCell ref="C49:E49"/>
    <mergeCell ref="C50:E50"/>
    <mergeCell ref="C51:E51"/>
    <mergeCell ref="J44:L44"/>
    <mergeCell ref="J45:L45"/>
    <mergeCell ref="J46:L46"/>
    <mergeCell ref="C52:E52"/>
    <mergeCell ref="C53:E53"/>
    <mergeCell ref="C54:E54"/>
    <mergeCell ref="J49:L49"/>
    <mergeCell ref="J50:L50"/>
    <mergeCell ref="J51:L51"/>
    <mergeCell ref="J57:L57"/>
    <mergeCell ref="J58:L58"/>
    <mergeCell ref="C58:E58"/>
    <mergeCell ref="C59:E59"/>
    <mergeCell ref="C60:E60"/>
    <mergeCell ref="C61:E61"/>
    <mergeCell ref="J59:L59"/>
    <mergeCell ref="J60:L60"/>
    <mergeCell ref="G59:I59"/>
    <mergeCell ref="G60:I60"/>
    <mergeCell ref="N46:P46"/>
    <mergeCell ref="N47:P47"/>
    <mergeCell ref="J53:L53"/>
    <mergeCell ref="J54:L54"/>
    <mergeCell ref="J55:L55"/>
    <mergeCell ref="J56:L56"/>
    <mergeCell ref="N48:P48"/>
    <mergeCell ref="N49:P49"/>
    <mergeCell ref="N50:P50"/>
    <mergeCell ref="N51:P51"/>
    <mergeCell ref="N52:P52"/>
    <mergeCell ref="N53:P53"/>
    <mergeCell ref="N54:P54"/>
    <mergeCell ref="N55:P55"/>
    <mergeCell ref="J61:L61"/>
    <mergeCell ref="N41:P41"/>
    <mergeCell ref="N42:P42"/>
    <mergeCell ref="N43:P43"/>
    <mergeCell ref="N44:P44"/>
    <mergeCell ref="N45:P45"/>
    <mergeCell ref="N56:P56"/>
    <mergeCell ref="N57:P57"/>
    <mergeCell ref="N58:P58"/>
    <mergeCell ref="N59:P59"/>
    <mergeCell ref="N60:P60"/>
    <mergeCell ref="N61:P61"/>
    <mergeCell ref="G40:I40"/>
    <mergeCell ref="N40:P40"/>
    <mergeCell ref="J40:L40"/>
    <mergeCell ref="G41:I41"/>
    <mergeCell ref="G42:I42"/>
    <mergeCell ref="G43:I43"/>
    <mergeCell ref="J41:L41"/>
    <mergeCell ref="J42:L42"/>
    <mergeCell ref="J43:L43"/>
    <mergeCell ref="G55:I55"/>
    <mergeCell ref="G56:I56"/>
    <mergeCell ref="G57:I57"/>
    <mergeCell ref="G58:I58"/>
    <mergeCell ref="G46:I46"/>
    <mergeCell ref="G47:I47"/>
    <mergeCell ref="G48:I48"/>
    <mergeCell ref="G49:I49"/>
    <mergeCell ref="G50:I50"/>
    <mergeCell ref="G51:I51"/>
    <mergeCell ref="C63:E63"/>
    <mergeCell ref="G63:I63"/>
    <mergeCell ref="J63:L63"/>
    <mergeCell ref="N63:P63"/>
    <mergeCell ref="G61:I61"/>
    <mergeCell ref="H37:J37"/>
    <mergeCell ref="H38:J38"/>
    <mergeCell ref="H39:J39"/>
    <mergeCell ref="G53:I53"/>
    <mergeCell ref="G54:I54"/>
  </mergeCells>
  <phoneticPr fontId="0" type="noConversion"/>
  <printOptions horizontalCentered="1"/>
  <pageMargins left="0.39370078740157483" right="0.39370078740157483" top="0.98425196850393704" bottom="0.98425196850393704" header="0.51181102362204722" footer="0.51181102362204722"/>
  <pageSetup scale="91" fitToHeight="2" orientation="landscape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B1C7-CC96-4B0B-B19A-C61BBD7B05F1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A25" sqref="A25:IV25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0" width="7.7109375" customWidth="1"/>
    <col min="11" max="11" width="9.7109375" customWidth="1"/>
    <col min="12" max="12" width="8.7109375" customWidth="1"/>
    <col min="13" max="13" width="9.14062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14</v>
      </c>
      <c r="G3" s="242"/>
      <c r="H3" s="3">
        <f>'ROK Prev MV'!M2</f>
        <v>2025</v>
      </c>
      <c r="I3" s="1"/>
      <c r="J3" s="1"/>
      <c r="K3" s="1"/>
      <c r="L3" s="241"/>
      <c r="M3" s="241"/>
      <c r="N3" s="241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6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61"/>
      <c r="E7" s="69">
        <f>'ROK Prev MV'!F9</f>
        <v>30109</v>
      </c>
      <c r="F7" s="68">
        <f>F43</f>
        <v>30276</v>
      </c>
      <c r="G7" s="72"/>
      <c r="H7" s="146" t="str">
        <f>IF(I7&gt;0,"  ",IF(I7&lt;0,"Pozor",0))</f>
        <v xml:space="preserve">  </v>
      </c>
      <c r="I7" s="145">
        <f>SUM(L4-L7)</f>
        <v>27.644999999999989</v>
      </c>
      <c r="J7" s="148" t="s">
        <v>63</v>
      </c>
      <c r="K7" s="56">
        <f>'ROK Prev MV'!L8</f>
        <v>79.69</v>
      </c>
      <c r="L7" s="56">
        <f>O46</f>
        <v>62.355000000000011</v>
      </c>
      <c r="M7" s="17" t="s">
        <v>63</v>
      </c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4">
        <f>'ROK Prev MV'!L9</f>
        <v>0</v>
      </c>
      <c r="L8" s="56">
        <f>L7*E50</f>
        <v>0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88.023952095808383</v>
      </c>
      <c r="C9" s="137">
        <f>IF(D10&gt;0,C10/D10*100,0)</f>
        <v>11.976047904191617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147</v>
      </c>
      <c r="C10" s="90">
        <f>C46</f>
        <v>20</v>
      </c>
      <c r="D10" s="91">
        <f>D46</f>
        <v>167</v>
      </c>
      <c r="E10" s="61"/>
      <c r="F10" s="61"/>
      <c r="G10" s="88" t="s">
        <v>62</v>
      </c>
      <c r="H10" s="89"/>
      <c r="I10" s="92">
        <f>IF(F7&gt;E7,(I46/D46)*100,0)</f>
        <v>10.380239520958085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30109</v>
      </c>
      <c r="F13" s="8">
        <f>SUM(E13,D13)</f>
        <v>30109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79.69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30109</v>
      </c>
      <c r="F14" s="10">
        <f t="shared" ref="F14:F43" si="1">SUM(E14,D14)</f>
        <v>30109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79.69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30109</v>
      </c>
      <c r="F15" s="10">
        <f t="shared" si="1"/>
        <v>30109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79.69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30109</v>
      </c>
      <c r="F16" s="10">
        <f t="shared" si="1"/>
        <v>30109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79.69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30109</v>
      </c>
      <c r="F17" s="10">
        <f t="shared" si="1"/>
        <v>30109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79.69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30109</v>
      </c>
      <c r="F18" s="10">
        <f t="shared" si="1"/>
        <v>30109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79.69</v>
      </c>
    </row>
    <row r="19" spans="1:15" x14ac:dyDescent="0.2">
      <c r="A19" s="7">
        <v>7</v>
      </c>
      <c r="B19" s="130">
        <v>14</v>
      </c>
      <c r="C19" s="130"/>
      <c r="D19" s="8">
        <f t="shared" si="0"/>
        <v>14</v>
      </c>
      <c r="E19" s="10">
        <f t="shared" si="6"/>
        <v>30109</v>
      </c>
      <c r="F19" s="10">
        <f t="shared" si="1"/>
        <v>30123</v>
      </c>
      <c r="G19" s="9">
        <f t="shared" si="2"/>
        <v>1.47</v>
      </c>
      <c r="H19" s="9">
        <f t="shared" si="3"/>
        <v>0</v>
      </c>
      <c r="I19" s="9">
        <f t="shared" si="4"/>
        <v>1.47</v>
      </c>
      <c r="J19" s="130"/>
      <c r="K19" s="132"/>
      <c r="L19" s="158"/>
      <c r="M19" s="159"/>
      <c r="N19" s="16">
        <v>7</v>
      </c>
      <c r="O19" s="152">
        <f t="shared" si="5"/>
        <v>78.22</v>
      </c>
    </row>
    <row r="20" spans="1:15" x14ac:dyDescent="0.2">
      <c r="A20" s="10">
        <v>8</v>
      </c>
      <c r="B20" s="130">
        <v>29</v>
      </c>
      <c r="C20" s="130"/>
      <c r="D20" s="8">
        <f t="shared" si="0"/>
        <v>29</v>
      </c>
      <c r="E20" s="10">
        <f t="shared" si="6"/>
        <v>30123</v>
      </c>
      <c r="F20" s="10">
        <f t="shared" si="1"/>
        <v>30152</v>
      </c>
      <c r="G20" s="9">
        <f t="shared" si="2"/>
        <v>3.0449999999999999</v>
      </c>
      <c r="H20" s="9">
        <f t="shared" si="3"/>
        <v>0</v>
      </c>
      <c r="I20" s="9">
        <f t="shared" si="4"/>
        <v>3.0449999999999999</v>
      </c>
      <c r="J20" s="130"/>
      <c r="K20" s="132"/>
      <c r="L20" s="158"/>
      <c r="M20" s="159"/>
      <c r="N20" s="16">
        <v>8</v>
      </c>
      <c r="O20" s="152">
        <f t="shared" si="5"/>
        <v>75.174999999999997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30152</v>
      </c>
      <c r="F21" s="10">
        <f t="shared" si="1"/>
        <v>30152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75.174999999999997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30152</v>
      </c>
      <c r="F22" s="10">
        <f t="shared" si="1"/>
        <v>30152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75.174999999999997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30152</v>
      </c>
      <c r="F23" s="10">
        <f t="shared" si="1"/>
        <v>30152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75.174999999999997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30152</v>
      </c>
      <c r="F24" s="10">
        <f t="shared" si="1"/>
        <v>30152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75.174999999999997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30152</v>
      </c>
      <c r="F25" s="10">
        <f t="shared" si="1"/>
        <v>30152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75.174999999999997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30152</v>
      </c>
      <c r="F26" s="10">
        <f t="shared" si="1"/>
        <v>30152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75.174999999999997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30152</v>
      </c>
      <c r="F27" s="10">
        <f t="shared" si="1"/>
        <v>30152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75.174999999999997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30152</v>
      </c>
      <c r="F28" s="10">
        <f t="shared" si="1"/>
        <v>30152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75.174999999999997</v>
      </c>
    </row>
    <row r="29" spans="1:15" x14ac:dyDescent="0.2">
      <c r="A29" s="7">
        <v>17</v>
      </c>
      <c r="B29" s="130">
        <v>6</v>
      </c>
      <c r="C29" s="130"/>
      <c r="D29" s="8">
        <f t="shared" si="0"/>
        <v>6</v>
      </c>
      <c r="E29" s="10">
        <f t="shared" si="6"/>
        <v>30152</v>
      </c>
      <c r="F29" s="10">
        <f t="shared" si="1"/>
        <v>30158</v>
      </c>
      <c r="G29" s="9">
        <f t="shared" si="2"/>
        <v>0.63</v>
      </c>
      <c r="H29" s="9">
        <f t="shared" si="3"/>
        <v>0</v>
      </c>
      <c r="I29" s="9">
        <f t="shared" si="4"/>
        <v>0.63</v>
      </c>
      <c r="J29" s="130"/>
      <c r="K29" s="132"/>
      <c r="L29" s="158"/>
      <c r="M29" s="159"/>
      <c r="N29" s="16">
        <v>17</v>
      </c>
      <c r="O29" s="152">
        <f t="shared" si="5"/>
        <v>74.545000000000002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30158</v>
      </c>
      <c r="F30" s="10">
        <f t="shared" si="1"/>
        <v>30158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74.545000000000002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30158</v>
      </c>
      <c r="F31" s="10">
        <f t="shared" si="1"/>
        <v>30158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74.545000000000002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30158</v>
      </c>
      <c r="F32" s="10">
        <f t="shared" si="1"/>
        <v>30158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74.545000000000002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30158</v>
      </c>
      <c r="F33" s="10">
        <f t="shared" si="1"/>
        <v>30158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74.545000000000002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30158</v>
      </c>
      <c r="F34" s="10">
        <f t="shared" si="1"/>
        <v>30158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74.545000000000002</v>
      </c>
    </row>
    <row r="35" spans="1:15" x14ac:dyDescent="0.2">
      <c r="A35" s="7">
        <v>23</v>
      </c>
      <c r="B35" s="130">
        <v>42</v>
      </c>
      <c r="C35" s="130"/>
      <c r="D35" s="8">
        <f t="shared" si="0"/>
        <v>42</v>
      </c>
      <c r="E35" s="10">
        <f t="shared" si="6"/>
        <v>30158</v>
      </c>
      <c r="F35" s="10">
        <f t="shared" si="1"/>
        <v>30200</v>
      </c>
      <c r="G35" s="9">
        <f t="shared" si="2"/>
        <v>4.41</v>
      </c>
      <c r="H35" s="9">
        <f t="shared" si="3"/>
        <v>0</v>
      </c>
      <c r="I35" s="9">
        <f t="shared" si="4"/>
        <v>4.41</v>
      </c>
      <c r="J35" s="130"/>
      <c r="K35" s="132"/>
      <c r="L35" s="158"/>
      <c r="M35" s="159"/>
      <c r="N35" s="16">
        <v>23</v>
      </c>
      <c r="O35" s="152">
        <f t="shared" si="5"/>
        <v>70.135000000000005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30200</v>
      </c>
      <c r="F36" s="10">
        <f t="shared" si="1"/>
        <v>30200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70.135000000000005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30200</v>
      </c>
      <c r="F37" s="10">
        <f t="shared" si="1"/>
        <v>30200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70.135000000000005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30200</v>
      </c>
      <c r="F38" s="10">
        <f t="shared" si="1"/>
        <v>30200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70.135000000000005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30200</v>
      </c>
      <c r="F39" s="10">
        <f t="shared" si="1"/>
        <v>30200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70.135000000000005</v>
      </c>
    </row>
    <row r="40" spans="1:15" x14ac:dyDescent="0.2">
      <c r="A40" s="10">
        <v>28</v>
      </c>
      <c r="B40" s="130">
        <v>33</v>
      </c>
      <c r="C40" s="130">
        <v>20</v>
      </c>
      <c r="D40" s="8">
        <f t="shared" si="0"/>
        <v>53</v>
      </c>
      <c r="E40" s="10">
        <f t="shared" si="6"/>
        <v>30200</v>
      </c>
      <c r="F40" s="10">
        <f t="shared" si="1"/>
        <v>30253</v>
      </c>
      <c r="G40" s="9">
        <f t="shared" si="2"/>
        <v>3.4649999999999999</v>
      </c>
      <c r="H40" s="9">
        <f t="shared" si="3"/>
        <v>1.9</v>
      </c>
      <c r="I40" s="9">
        <f t="shared" si="4"/>
        <v>5.3650000000000002</v>
      </c>
      <c r="J40" s="130"/>
      <c r="K40" s="132"/>
      <c r="L40" s="158"/>
      <c r="M40" s="159"/>
      <c r="N40" s="16">
        <v>28</v>
      </c>
      <c r="O40" s="152">
        <f t="shared" si="5"/>
        <v>64.77000000000001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30253</v>
      </c>
      <c r="F41" s="10">
        <f t="shared" si="1"/>
        <v>30253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64.77000000000001</v>
      </c>
    </row>
    <row r="42" spans="1:15" x14ac:dyDescent="0.2">
      <c r="A42" s="10">
        <v>30</v>
      </c>
      <c r="B42" s="130">
        <v>23</v>
      </c>
      <c r="C42" s="130"/>
      <c r="D42" s="8">
        <f t="shared" si="0"/>
        <v>23</v>
      </c>
      <c r="E42" s="10">
        <f t="shared" si="6"/>
        <v>30253</v>
      </c>
      <c r="F42" s="10">
        <f t="shared" si="1"/>
        <v>30276</v>
      </c>
      <c r="G42" s="9">
        <f t="shared" si="2"/>
        <v>2.415</v>
      </c>
      <c r="H42" s="9">
        <f t="shared" si="3"/>
        <v>0</v>
      </c>
      <c r="I42" s="9">
        <f t="shared" si="4"/>
        <v>2.415</v>
      </c>
      <c r="J42" s="130"/>
      <c r="K42" s="132"/>
      <c r="L42" s="158"/>
      <c r="M42" s="159"/>
      <c r="N42" s="16">
        <v>30</v>
      </c>
      <c r="O42" s="152">
        <f t="shared" si="5"/>
        <v>62.355000000000011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30276</v>
      </c>
      <c r="F43" s="11">
        <f t="shared" si="1"/>
        <v>30276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62.355000000000011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147</v>
      </c>
      <c r="C46" s="12">
        <f>SUM(C13:C43)</f>
        <v>20</v>
      </c>
      <c r="D46" s="12">
        <f>SUM(D13:D43)</f>
        <v>167</v>
      </c>
      <c r="E46" s="12">
        <f>E7</f>
        <v>30109</v>
      </c>
      <c r="F46" s="12">
        <f>F43</f>
        <v>30276</v>
      </c>
      <c r="G46" s="13">
        <f t="shared" ref="G46:M46" si="7">SUM(G13:G43)</f>
        <v>15.434999999999999</v>
      </c>
      <c r="H46" s="13">
        <f t="shared" si="7"/>
        <v>1.9</v>
      </c>
      <c r="I46" s="13">
        <f t="shared" si="7"/>
        <v>17.335000000000001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62.355000000000011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</v>
      </c>
      <c r="F50" s="113" t="s">
        <v>51</v>
      </c>
      <c r="G50" s="111">
        <f>G46*$E50</f>
        <v>0</v>
      </c>
      <c r="H50" s="116">
        <f>H46*$E50</f>
        <v>0</v>
      </c>
      <c r="I50" s="117">
        <f>I46*$E50</f>
        <v>0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7">
    <mergeCell ref="L44:M44"/>
    <mergeCell ref="G48:I48"/>
    <mergeCell ref="J48:K48"/>
    <mergeCell ref="B44:D44"/>
    <mergeCell ref="E44:F44"/>
    <mergeCell ref="G44:I44"/>
    <mergeCell ref="J44:K44"/>
    <mergeCell ref="A1:N1"/>
    <mergeCell ref="A3:B3"/>
    <mergeCell ref="F3:G3"/>
    <mergeCell ref="L11:M11"/>
    <mergeCell ref="L3:N3"/>
    <mergeCell ref="B11:D11"/>
    <mergeCell ref="E11:F11"/>
    <mergeCell ref="A4:B4"/>
    <mergeCell ref="G11:I11"/>
    <mergeCell ref="J11:K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A19B-0A7F-4D7F-BF58-A42CBD966A81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T41" sqref="T41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25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69">
        <f>'01'!F7</f>
        <v>30276</v>
      </c>
      <c r="F7" s="68">
        <f>F43</f>
        <v>30427</v>
      </c>
      <c r="G7" s="72"/>
      <c r="H7" s="146" t="str">
        <f>IF(I7&gt;0,"  ",IF(I7&lt;0,"Pozor",0))</f>
        <v xml:space="preserve">  </v>
      </c>
      <c r="I7" s="145">
        <f>SUM(L4-L7)</f>
        <v>42.999999999999986</v>
      </c>
      <c r="J7" s="148" t="s">
        <v>63</v>
      </c>
      <c r="K7" s="56">
        <f>'01'!L7</f>
        <v>62.355000000000011</v>
      </c>
      <c r="L7" s="56">
        <f>O46</f>
        <v>47.000000000000014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'01'!L8</f>
        <v>0</v>
      </c>
      <c r="L8" s="56">
        <f>L7*E50</f>
        <v>0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66.88741721854305</v>
      </c>
      <c r="C9" s="137">
        <f>IF(D10&gt;0,C10/D10*100,0)</f>
        <v>33.112582781456958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101</v>
      </c>
      <c r="C10" s="90">
        <f>C46</f>
        <v>50</v>
      </c>
      <c r="D10" s="91">
        <f>D46</f>
        <v>151</v>
      </c>
      <c r="E10" s="61"/>
      <c r="F10" s="61"/>
      <c r="G10" s="88" t="s">
        <v>62</v>
      </c>
      <c r="H10" s="89"/>
      <c r="I10" s="92">
        <f>IF(F7&gt;E7,(I46/D46)*100,0)</f>
        <v>10.168874172185429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30276</v>
      </c>
      <c r="F13" s="8">
        <f>SUM(E13,D13)</f>
        <v>30276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62.355000000000011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30276</v>
      </c>
      <c r="F14" s="10">
        <f t="shared" ref="F14:F43" si="1">SUM(E14,D14)</f>
        <v>30276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62.355000000000011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30276</v>
      </c>
      <c r="F15" s="10">
        <f t="shared" si="1"/>
        <v>30276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62.355000000000011</v>
      </c>
    </row>
    <row r="16" spans="1:15" x14ac:dyDescent="0.2">
      <c r="A16" s="10">
        <v>4</v>
      </c>
      <c r="B16" s="130">
        <v>33</v>
      </c>
      <c r="C16" s="130">
        <v>30</v>
      </c>
      <c r="D16" s="8">
        <f t="shared" si="0"/>
        <v>63</v>
      </c>
      <c r="E16" s="10">
        <f t="shared" si="6"/>
        <v>30276</v>
      </c>
      <c r="F16" s="10">
        <f t="shared" si="1"/>
        <v>30339</v>
      </c>
      <c r="G16" s="9">
        <f t="shared" si="2"/>
        <v>3.4649999999999999</v>
      </c>
      <c r="H16" s="9">
        <f t="shared" si="3"/>
        <v>2.85</v>
      </c>
      <c r="I16" s="9">
        <f t="shared" si="4"/>
        <v>6.3149999999999995</v>
      </c>
      <c r="J16" s="130"/>
      <c r="K16" s="132"/>
      <c r="L16" s="158"/>
      <c r="M16" s="159"/>
      <c r="N16" s="16">
        <v>4</v>
      </c>
      <c r="O16" s="152">
        <f t="shared" si="5"/>
        <v>56.040000000000013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30339</v>
      </c>
      <c r="F17" s="10">
        <f t="shared" si="1"/>
        <v>30339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56.040000000000013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30339</v>
      </c>
      <c r="F18" s="10">
        <f t="shared" si="1"/>
        <v>30339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56.040000000000013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30339</v>
      </c>
      <c r="F19" s="10">
        <f t="shared" si="1"/>
        <v>30339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56.040000000000013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30339</v>
      </c>
      <c r="F20" s="10">
        <f t="shared" si="1"/>
        <v>30339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56.040000000000013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30339</v>
      </c>
      <c r="F21" s="10">
        <f t="shared" si="1"/>
        <v>30339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56.040000000000013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30339</v>
      </c>
      <c r="F22" s="10">
        <f t="shared" si="1"/>
        <v>30339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56.040000000000013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30339</v>
      </c>
      <c r="F23" s="10">
        <f t="shared" si="1"/>
        <v>30339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56.040000000000013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30339</v>
      </c>
      <c r="F24" s="10">
        <f t="shared" si="1"/>
        <v>30339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56.040000000000013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30339</v>
      </c>
      <c r="F25" s="10">
        <f t="shared" si="1"/>
        <v>30339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56.040000000000013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30339</v>
      </c>
      <c r="F26" s="10">
        <f t="shared" si="1"/>
        <v>30339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56.040000000000013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30339</v>
      </c>
      <c r="F27" s="10">
        <f t="shared" si="1"/>
        <v>30339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56.040000000000013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30339</v>
      </c>
      <c r="F28" s="10">
        <f t="shared" si="1"/>
        <v>30339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56.040000000000013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30339</v>
      </c>
      <c r="F29" s="10">
        <f t="shared" si="1"/>
        <v>30339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56.040000000000013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30339</v>
      </c>
      <c r="F30" s="10">
        <f t="shared" si="1"/>
        <v>30339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56.040000000000013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30339</v>
      </c>
      <c r="F31" s="10">
        <f t="shared" si="1"/>
        <v>30339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56.040000000000013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30339</v>
      </c>
      <c r="F32" s="10">
        <f t="shared" si="1"/>
        <v>30339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56.040000000000013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30339</v>
      </c>
      <c r="F33" s="10">
        <f t="shared" si="1"/>
        <v>30339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56.040000000000013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30339</v>
      </c>
      <c r="F34" s="10">
        <f t="shared" si="1"/>
        <v>30339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56.040000000000013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30339</v>
      </c>
      <c r="F35" s="10">
        <f t="shared" si="1"/>
        <v>30339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56.040000000000013</v>
      </c>
    </row>
    <row r="36" spans="1:15" x14ac:dyDescent="0.2">
      <c r="A36" s="10">
        <v>24</v>
      </c>
      <c r="B36" s="130">
        <v>19</v>
      </c>
      <c r="C36" s="130"/>
      <c r="D36" s="8">
        <f t="shared" si="0"/>
        <v>19</v>
      </c>
      <c r="E36" s="10">
        <f t="shared" si="6"/>
        <v>30339</v>
      </c>
      <c r="F36" s="10">
        <f t="shared" si="1"/>
        <v>30358</v>
      </c>
      <c r="G36" s="9">
        <f t="shared" si="2"/>
        <v>1.9950000000000001</v>
      </c>
      <c r="H36" s="9">
        <f t="shared" si="3"/>
        <v>0</v>
      </c>
      <c r="I36" s="9">
        <f t="shared" si="4"/>
        <v>1.9950000000000001</v>
      </c>
      <c r="J36" s="130"/>
      <c r="K36" s="132"/>
      <c r="L36" s="158"/>
      <c r="M36" s="159"/>
      <c r="N36" s="16">
        <v>24</v>
      </c>
      <c r="O36" s="152">
        <f t="shared" si="5"/>
        <v>54.045000000000016</v>
      </c>
    </row>
    <row r="37" spans="1:15" x14ac:dyDescent="0.2">
      <c r="A37" s="7">
        <v>25</v>
      </c>
      <c r="B37" s="130">
        <v>25</v>
      </c>
      <c r="C37" s="130">
        <v>20</v>
      </c>
      <c r="D37" s="8">
        <f t="shared" si="0"/>
        <v>45</v>
      </c>
      <c r="E37" s="10">
        <f t="shared" si="6"/>
        <v>30358</v>
      </c>
      <c r="F37" s="10">
        <f t="shared" si="1"/>
        <v>30403</v>
      </c>
      <c r="G37" s="9">
        <f t="shared" si="2"/>
        <v>2.625</v>
      </c>
      <c r="H37" s="9">
        <f t="shared" si="3"/>
        <v>1.9</v>
      </c>
      <c r="I37" s="9">
        <f t="shared" si="4"/>
        <v>4.5250000000000004</v>
      </c>
      <c r="J37" s="130"/>
      <c r="K37" s="132"/>
      <c r="L37" s="158"/>
      <c r="M37" s="159"/>
      <c r="N37" s="16">
        <v>25</v>
      </c>
      <c r="O37" s="152">
        <f t="shared" si="5"/>
        <v>49.520000000000017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30403</v>
      </c>
      <c r="F38" s="10">
        <f t="shared" si="1"/>
        <v>30403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49.520000000000017</v>
      </c>
    </row>
    <row r="39" spans="1:15" x14ac:dyDescent="0.2">
      <c r="A39" s="7">
        <v>27</v>
      </c>
      <c r="B39" s="130">
        <v>24</v>
      </c>
      <c r="C39" s="130"/>
      <c r="D39" s="8">
        <f t="shared" si="0"/>
        <v>24</v>
      </c>
      <c r="E39" s="10">
        <f t="shared" si="6"/>
        <v>30403</v>
      </c>
      <c r="F39" s="10">
        <f t="shared" si="1"/>
        <v>30427</v>
      </c>
      <c r="G39" s="9">
        <f t="shared" si="2"/>
        <v>2.52</v>
      </c>
      <c r="H39" s="9">
        <f t="shared" si="3"/>
        <v>0</v>
      </c>
      <c r="I39" s="9">
        <f t="shared" si="4"/>
        <v>2.52</v>
      </c>
      <c r="J39" s="130"/>
      <c r="K39" s="132"/>
      <c r="L39" s="158"/>
      <c r="M39" s="159"/>
      <c r="N39" s="16">
        <v>27</v>
      </c>
      <c r="O39" s="152">
        <f t="shared" si="5"/>
        <v>47.000000000000014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30427</v>
      </c>
      <c r="F40" s="10">
        <f t="shared" si="1"/>
        <v>30427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47.000000000000014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30427</v>
      </c>
      <c r="F41" s="10">
        <f t="shared" si="1"/>
        <v>30427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47.000000000000014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30427</v>
      </c>
      <c r="F42" s="10">
        <f t="shared" si="1"/>
        <v>30427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47.000000000000014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30427</v>
      </c>
      <c r="F43" s="11">
        <f t="shared" si="1"/>
        <v>30427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47.000000000000014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101</v>
      </c>
      <c r="C46" s="12">
        <f>SUM(C13:C43)</f>
        <v>50</v>
      </c>
      <c r="D46" s="12">
        <f>SUM(D13:D43)</f>
        <v>151</v>
      </c>
      <c r="E46" s="12">
        <f>E7</f>
        <v>30276</v>
      </c>
      <c r="F46" s="12">
        <f>F43</f>
        <v>30427</v>
      </c>
      <c r="G46" s="13">
        <f t="shared" ref="G46:M46" si="7">SUM(G13:G43)</f>
        <v>10.605</v>
      </c>
      <c r="H46" s="13">
        <f t="shared" si="7"/>
        <v>4.75</v>
      </c>
      <c r="I46" s="13">
        <f t="shared" si="7"/>
        <v>15.354999999999999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47.000000000000014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</v>
      </c>
      <c r="F50" s="113" t="s">
        <v>51</v>
      </c>
      <c r="G50" s="111">
        <f>G46*$E50</f>
        <v>0</v>
      </c>
      <c r="H50" s="116">
        <f>H46*$E50</f>
        <v>0</v>
      </c>
      <c r="I50" s="117">
        <f>I46*$E50</f>
        <v>0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G48:I48"/>
    <mergeCell ref="J48:K48"/>
    <mergeCell ref="B44:D44"/>
    <mergeCell ref="E44:F44"/>
    <mergeCell ref="G44:I44"/>
    <mergeCell ref="B11:D11"/>
    <mergeCell ref="E11:F11"/>
    <mergeCell ref="G11:I11"/>
    <mergeCell ref="J11:K11"/>
    <mergeCell ref="J44:K44"/>
    <mergeCell ref="L44:M44"/>
    <mergeCell ref="A1:N1"/>
    <mergeCell ref="A3:B3"/>
    <mergeCell ref="F3:G3"/>
    <mergeCell ref="A4:B4"/>
    <mergeCell ref="L11:M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F6CD-9A85-4B4E-B39C-9F3F84C7058E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R43" sqref="R43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26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'02'!F7</f>
        <v>30427</v>
      </c>
      <c r="F7" s="98">
        <f>F43</f>
        <v>30575</v>
      </c>
      <c r="G7" s="72"/>
      <c r="H7" s="146" t="str">
        <f>IF(I7&gt;0,"  ",IF(I7&lt;0,"Pozor",0))</f>
        <v xml:space="preserve">  </v>
      </c>
      <c r="I7" s="145">
        <f>SUM(L4-L7)</f>
        <v>2.8899999999999864</v>
      </c>
      <c r="J7" s="148" t="s">
        <v>63</v>
      </c>
      <c r="K7" s="56">
        <f>'02'!L7</f>
        <v>47.000000000000014</v>
      </c>
      <c r="L7" s="56">
        <f>O46</f>
        <v>87.110000000000014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'02'!L8</f>
        <v>0</v>
      </c>
      <c r="L8" s="56">
        <f>L7*E50</f>
        <v>70.210660000000018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56.081081081081088</v>
      </c>
      <c r="C9" s="137">
        <f>IF(D10&gt;0,C10/D10*100,0)</f>
        <v>43.918918918918919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83</v>
      </c>
      <c r="C10" s="90">
        <f>C46</f>
        <v>65</v>
      </c>
      <c r="D10" s="91">
        <f>D46</f>
        <v>148</v>
      </c>
      <c r="E10" s="61"/>
      <c r="F10" s="61"/>
      <c r="G10" s="88" t="s">
        <v>62</v>
      </c>
      <c r="H10" s="89"/>
      <c r="I10" s="92">
        <f>IF(F7&gt;E7,(I46/D46)*100,0)</f>
        <v>10.060810810810809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30427</v>
      </c>
      <c r="F13" s="8">
        <f>SUM(E13,D13)</f>
        <v>30427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47.000000000000014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30427</v>
      </c>
      <c r="F14" s="10">
        <f t="shared" ref="F14:F43" si="1">SUM(E14,D14)</f>
        <v>30427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47.000000000000014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30427</v>
      </c>
      <c r="F15" s="10">
        <f t="shared" si="1"/>
        <v>30427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47.000000000000014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30427</v>
      </c>
      <c r="F16" s="10">
        <f t="shared" si="1"/>
        <v>30427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47.000000000000014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30427</v>
      </c>
      <c r="F17" s="10">
        <f t="shared" si="1"/>
        <v>30427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47.000000000000014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30427</v>
      </c>
      <c r="F18" s="10">
        <f t="shared" si="1"/>
        <v>30427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47.000000000000014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30427</v>
      </c>
      <c r="F19" s="10">
        <f t="shared" si="1"/>
        <v>30427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47.000000000000014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30427</v>
      </c>
      <c r="F20" s="10">
        <f t="shared" si="1"/>
        <v>30427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47.000000000000014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30427</v>
      </c>
      <c r="F21" s="10">
        <f t="shared" si="1"/>
        <v>30427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47.000000000000014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30427</v>
      </c>
      <c r="F22" s="10">
        <f t="shared" si="1"/>
        <v>30427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47.000000000000014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30427</v>
      </c>
      <c r="F23" s="10">
        <f t="shared" si="1"/>
        <v>30427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47.000000000000014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30427</v>
      </c>
      <c r="F24" s="10">
        <f t="shared" si="1"/>
        <v>30427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47.000000000000014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30427</v>
      </c>
      <c r="F25" s="10">
        <f t="shared" si="1"/>
        <v>30427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47.000000000000014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30427</v>
      </c>
      <c r="F26" s="10">
        <f t="shared" si="1"/>
        <v>30427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47.000000000000014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30427</v>
      </c>
      <c r="F27" s="10">
        <f t="shared" si="1"/>
        <v>30427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47.000000000000014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30427</v>
      </c>
      <c r="F28" s="10">
        <f t="shared" si="1"/>
        <v>30427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47.000000000000014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30427</v>
      </c>
      <c r="F29" s="10">
        <f t="shared" si="1"/>
        <v>30427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47.000000000000014</v>
      </c>
    </row>
    <row r="30" spans="1:15" x14ac:dyDescent="0.2">
      <c r="A30" s="10">
        <v>18</v>
      </c>
      <c r="B30" s="130">
        <v>36</v>
      </c>
      <c r="C30" s="130"/>
      <c r="D30" s="8">
        <f t="shared" si="0"/>
        <v>36</v>
      </c>
      <c r="E30" s="10">
        <f t="shared" si="6"/>
        <v>30427</v>
      </c>
      <c r="F30" s="10">
        <f t="shared" si="1"/>
        <v>30463</v>
      </c>
      <c r="G30" s="9">
        <f t="shared" si="2"/>
        <v>3.78</v>
      </c>
      <c r="H30" s="9">
        <f t="shared" si="3"/>
        <v>0</v>
      </c>
      <c r="I30" s="9">
        <f t="shared" si="4"/>
        <v>3.78</v>
      </c>
      <c r="J30" s="130"/>
      <c r="K30" s="132"/>
      <c r="L30" s="158"/>
      <c r="M30" s="159"/>
      <c r="N30" s="16">
        <v>18</v>
      </c>
      <c r="O30" s="152">
        <f t="shared" si="5"/>
        <v>43.220000000000013</v>
      </c>
    </row>
    <row r="31" spans="1:15" x14ac:dyDescent="0.2">
      <c r="A31" s="7">
        <v>19</v>
      </c>
      <c r="B31" s="130">
        <v>27</v>
      </c>
      <c r="C31" s="130">
        <v>40</v>
      </c>
      <c r="D31" s="8">
        <f t="shared" si="0"/>
        <v>67</v>
      </c>
      <c r="E31" s="10">
        <f t="shared" si="6"/>
        <v>30463</v>
      </c>
      <c r="F31" s="10">
        <f t="shared" si="1"/>
        <v>30530</v>
      </c>
      <c r="G31" s="9">
        <f t="shared" si="2"/>
        <v>2.835</v>
      </c>
      <c r="H31" s="9">
        <f t="shared" si="3"/>
        <v>3.8</v>
      </c>
      <c r="I31" s="9">
        <f t="shared" si="4"/>
        <v>6.6349999999999998</v>
      </c>
      <c r="J31" s="130"/>
      <c r="K31" s="132"/>
      <c r="L31" s="158"/>
      <c r="M31" s="159"/>
      <c r="N31" s="16">
        <v>19</v>
      </c>
      <c r="O31" s="152">
        <f t="shared" si="5"/>
        <v>36.585000000000015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30530</v>
      </c>
      <c r="F32" s="10">
        <f t="shared" si="1"/>
        <v>30530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36.585000000000015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30530</v>
      </c>
      <c r="F33" s="10">
        <f t="shared" si="1"/>
        <v>30530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36.585000000000015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30530</v>
      </c>
      <c r="F34" s="10">
        <f t="shared" si="1"/>
        <v>30530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36.585000000000015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30530</v>
      </c>
      <c r="F35" s="10">
        <f t="shared" si="1"/>
        <v>30530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36.585000000000015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30530</v>
      </c>
      <c r="F36" s="10">
        <f t="shared" si="1"/>
        <v>30530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36.585000000000015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30530</v>
      </c>
      <c r="F37" s="10">
        <f t="shared" si="1"/>
        <v>30530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36.585000000000015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30530</v>
      </c>
      <c r="F38" s="10">
        <f t="shared" si="1"/>
        <v>30530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36.585000000000015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30530</v>
      </c>
      <c r="F39" s="10">
        <f t="shared" si="1"/>
        <v>30530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36.585000000000015</v>
      </c>
    </row>
    <row r="40" spans="1:15" x14ac:dyDescent="0.2">
      <c r="A40" s="10">
        <v>28</v>
      </c>
      <c r="B40" s="130">
        <v>20</v>
      </c>
      <c r="C40" s="130">
        <v>25</v>
      </c>
      <c r="D40" s="8">
        <f t="shared" si="0"/>
        <v>45</v>
      </c>
      <c r="E40" s="10">
        <f t="shared" si="6"/>
        <v>30530</v>
      </c>
      <c r="F40" s="10">
        <f t="shared" si="1"/>
        <v>30575</v>
      </c>
      <c r="G40" s="9">
        <f t="shared" si="2"/>
        <v>2.1</v>
      </c>
      <c r="H40" s="9">
        <f t="shared" si="3"/>
        <v>2.375</v>
      </c>
      <c r="I40" s="9">
        <f t="shared" si="4"/>
        <v>4.4749999999999996</v>
      </c>
      <c r="J40" s="130">
        <v>55</v>
      </c>
      <c r="K40" s="132">
        <v>82.17</v>
      </c>
      <c r="L40" s="158"/>
      <c r="M40" s="159"/>
      <c r="N40" s="16">
        <v>28</v>
      </c>
      <c r="O40" s="152">
        <f t="shared" si="5"/>
        <v>87.110000000000014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30575</v>
      </c>
      <c r="F41" s="10">
        <f t="shared" si="1"/>
        <v>30575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87.110000000000014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30575</v>
      </c>
      <c r="F42" s="10">
        <f t="shared" si="1"/>
        <v>30575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87.110000000000014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30575</v>
      </c>
      <c r="F43" s="11">
        <f t="shared" si="1"/>
        <v>30575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87.110000000000014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83</v>
      </c>
      <c r="C46" s="12">
        <f>SUM(C13:C43)</f>
        <v>65</v>
      </c>
      <c r="D46" s="12">
        <f>SUM(D13:D43)</f>
        <v>148</v>
      </c>
      <c r="E46" s="12">
        <f>E7</f>
        <v>30427</v>
      </c>
      <c r="F46" s="12">
        <f>F43</f>
        <v>30575</v>
      </c>
      <c r="G46" s="13">
        <f t="shared" ref="G46:M46" si="7">SUM(G13:G43)</f>
        <v>8.7149999999999999</v>
      </c>
      <c r="H46" s="13">
        <f t="shared" si="7"/>
        <v>6.1749999999999998</v>
      </c>
      <c r="I46" s="13">
        <f t="shared" si="7"/>
        <v>14.889999999999999</v>
      </c>
      <c r="J46" s="13">
        <f t="shared" si="7"/>
        <v>55</v>
      </c>
      <c r="K46" s="99">
        <f t="shared" si="7"/>
        <v>82.17</v>
      </c>
      <c r="L46" s="13">
        <f t="shared" si="7"/>
        <v>0</v>
      </c>
      <c r="M46" s="13">
        <f t="shared" si="7"/>
        <v>0</v>
      </c>
      <c r="O46" s="194">
        <f>O43</f>
        <v>87.110000000000014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0.80600000000000005</v>
      </c>
      <c r="F50" s="113" t="s">
        <v>51</v>
      </c>
      <c r="G50" s="111">
        <f>G46*$E50</f>
        <v>7.0242900000000006</v>
      </c>
      <c r="H50" s="116">
        <f>H46*$E50</f>
        <v>4.9770500000000002</v>
      </c>
      <c r="I50" s="117">
        <f>I46*$E50</f>
        <v>12.001339999999999</v>
      </c>
      <c r="J50" s="118">
        <f>J46+L46</f>
        <v>55</v>
      </c>
      <c r="K50" s="118">
        <f>K46+M46</f>
        <v>82.17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L44:M44"/>
    <mergeCell ref="G48:I48"/>
    <mergeCell ref="J48:K48"/>
    <mergeCell ref="B44:D44"/>
    <mergeCell ref="E44:F44"/>
    <mergeCell ref="G44:I44"/>
    <mergeCell ref="J44:K44"/>
    <mergeCell ref="A1:N1"/>
    <mergeCell ref="A3:B3"/>
    <mergeCell ref="F3:G3"/>
    <mergeCell ref="A4:B4"/>
    <mergeCell ref="L11:M11"/>
    <mergeCell ref="J11:K11"/>
    <mergeCell ref="B11:D11"/>
    <mergeCell ref="E11:F11"/>
    <mergeCell ref="G11:I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9B41-C20C-4E61-8B1F-3E06E6398F6E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S34" sqref="S34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27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'03'!F7</f>
        <v>30575</v>
      </c>
      <c r="F7" s="98">
        <f>F43</f>
        <v>31259</v>
      </c>
      <c r="G7" s="72"/>
      <c r="H7" s="146" t="str">
        <f>IF(I7&gt;0,"  ",IF(I7&lt;0,"Pozor",0))</f>
        <v xml:space="preserve">  </v>
      </c>
      <c r="I7" s="145">
        <f>SUM(L4-L7)</f>
        <v>1.7099999999999937</v>
      </c>
      <c r="J7" s="148" t="s">
        <v>63</v>
      </c>
      <c r="K7" s="56">
        <f>'03'!L7</f>
        <v>87.110000000000014</v>
      </c>
      <c r="L7" s="56">
        <f>O46</f>
        <v>88.29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'03'!L8</f>
        <v>70.210660000000018</v>
      </c>
      <c r="L8" s="56">
        <f>L7*E50</f>
        <v>95.088329999999999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26.900584795321635</v>
      </c>
      <c r="C9" s="137">
        <f>IF(D10&gt;0,C10/D10*100,0)</f>
        <v>73.099415204678365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184</v>
      </c>
      <c r="C10" s="90">
        <f>C46</f>
        <v>500</v>
      </c>
      <c r="D10" s="91">
        <f>D46</f>
        <v>684</v>
      </c>
      <c r="E10" s="61"/>
      <c r="F10" s="61"/>
      <c r="G10" s="88" t="s">
        <v>62</v>
      </c>
      <c r="H10" s="89"/>
      <c r="I10" s="92">
        <f>IF(F7&gt;E7,(I46/D46)*100,0)</f>
        <v>9.7690058479532169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30575</v>
      </c>
      <c r="F13" s="8">
        <f>SUM(E13,D13)</f>
        <v>30575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87.110000000000014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30575</v>
      </c>
      <c r="F14" s="10">
        <f t="shared" ref="F14:F43" si="1">SUM(E14,D14)</f>
        <v>30575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87.110000000000014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30575</v>
      </c>
      <c r="F15" s="10">
        <f t="shared" si="1"/>
        <v>30575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87.110000000000014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30575</v>
      </c>
      <c r="F16" s="10">
        <f t="shared" si="1"/>
        <v>30575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87.110000000000014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30575</v>
      </c>
      <c r="F17" s="10">
        <f t="shared" si="1"/>
        <v>30575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87.110000000000014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30575</v>
      </c>
      <c r="F18" s="10">
        <f t="shared" si="1"/>
        <v>30575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87.110000000000014</v>
      </c>
    </row>
    <row r="19" spans="1:15" x14ac:dyDescent="0.2">
      <c r="A19" s="7">
        <v>7</v>
      </c>
      <c r="B19" s="130">
        <v>4</v>
      </c>
      <c r="C19" s="130"/>
      <c r="D19" s="8">
        <f t="shared" si="0"/>
        <v>4</v>
      </c>
      <c r="E19" s="10">
        <f t="shared" si="6"/>
        <v>30575</v>
      </c>
      <c r="F19" s="10">
        <f t="shared" si="1"/>
        <v>30579</v>
      </c>
      <c r="G19" s="9">
        <f t="shared" si="2"/>
        <v>0.42</v>
      </c>
      <c r="H19" s="9">
        <f t="shared" si="3"/>
        <v>0</v>
      </c>
      <c r="I19" s="9">
        <f t="shared" si="4"/>
        <v>0.42</v>
      </c>
      <c r="J19" s="130"/>
      <c r="K19" s="132"/>
      <c r="L19" s="158"/>
      <c r="M19" s="159"/>
      <c r="N19" s="16">
        <v>7</v>
      </c>
      <c r="O19" s="152">
        <f t="shared" si="5"/>
        <v>86.690000000000012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30579</v>
      </c>
      <c r="F20" s="10">
        <f t="shared" si="1"/>
        <v>30579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86.690000000000012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30579</v>
      </c>
      <c r="F21" s="10">
        <f t="shared" si="1"/>
        <v>30579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86.690000000000012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30579</v>
      </c>
      <c r="F22" s="10">
        <f t="shared" si="1"/>
        <v>30579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86.690000000000012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30579</v>
      </c>
      <c r="F23" s="10">
        <f t="shared" si="1"/>
        <v>30579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86.690000000000012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30579</v>
      </c>
      <c r="F24" s="10">
        <f t="shared" si="1"/>
        <v>30579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86.690000000000012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30579</v>
      </c>
      <c r="F25" s="10">
        <f t="shared" si="1"/>
        <v>30579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86.690000000000012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30579</v>
      </c>
      <c r="F26" s="10">
        <f t="shared" si="1"/>
        <v>30579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86.690000000000012</v>
      </c>
    </row>
    <row r="27" spans="1:15" x14ac:dyDescent="0.2">
      <c r="A27" s="7">
        <v>15</v>
      </c>
      <c r="B27" s="130">
        <v>23</v>
      </c>
      <c r="C27" s="130"/>
      <c r="D27" s="8">
        <f t="shared" si="0"/>
        <v>23</v>
      </c>
      <c r="E27" s="10">
        <f t="shared" si="6"/>
        <v>30579</v>
      </c>
      <c r="F27" s="10">
        <f t="shared" si="1"/>
        <v>30602</v>
      </c>
      <c r="G27" s="9">
        <f t="shared" si="2"/>
        <v>2.415</v>
      </c>
      <c r="H27" s="9">
        <f t="shared" si="3"/>
        <v>0</v>
      </c>
      <c r="I27" s="9">
        <f t="shared" si="4"/>
        <v>2.415</v>
      </c>
      <c r="J27" s="130"/>
      <c r="K27" s="132"/>
      <c r="L27" s="158"/>
      <c r="M27" s="159"/>
      <c r="N27" s="16">
        <v>15</v>
      </c>
      <c r="O27" s="152">
        <f t="shared" si="5"/>
        <v>84.275000000000006</v>
      </c>
    </row>
    <row r="28" spans="1:15" x14ac:dyDescent="0.2">
      <c r="A28" s="10">
        <v>16</v>
      </c>
      <c r="B28" s="130">
        <v>58</v>
      </c>
      <c r="C28" s="130">
        <v>400</v>
      </c>
      <c r="D28" s="8">
        <f t="shared" si="0"/>
        <v>458</v>
      </c>
      <c r="E28" s="10">
        <f t="shared" si="6"/>
        <v>30602</v>
      </c>
      <c r="F28" s="10">
        <f t="shared" si="1"/>
        <v>31060</v>
      </c>
      <c r="G28" s="9">
        <f t="shared" si="2"/>
        <v>6.09</v>
      </c>
      <c r="H28" s="9">
        <f t="shared" si="3"/>
        <v>38</v>
      </c>
      <c r="I28" s="9">
        <f t="shared" si="4"/>
        <v>44.09</v>
      </c>
      <c r="J28" s="130"/>
      <c r="K28" s="132"/>
      <c r="L28" s="158"/>
      <c r="M28" s="159"/>
      <c r="N28" s="16">
        <v>16</v>
      </c>
      <c r="O28" s="152">
        <f t="shared" si="5"/>
        <v>40.185000000000002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31060</v>
      </c>
      <c r="F29" s="10">
        <f t="shared" si="1"/>
        <v>31060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40.185000000000002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31060</v>
      </c>
      <c r="F30" s="10">
        <f t="shared" si="1"/>
        <v>31060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40.185000000000002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31060</v>
      </c>
      <c r="F31" s="10">
        <f t="shared" si="1"/>
        <v>31060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40.185000000000002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31060</v>
      </c>
      <c r="F32" s="10">
        <f t="shared" si="1"/>
        <v>31060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40.185000000000002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31060</v>
      </c>
      <c r="F33" s="10">
        <f t="shared" si="1"/>
        <v>31060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40.185000000000002</v>
      </c>
    </row>
    <row r="34" spans="1:15" x14ac:dyDescent="0.2">
      <c r="A34" s="10">
        <v>22</v>
      </c>
      <c r="B34" s="130">
        <v>83</v>
      </c>
      <c r="C34" s="130">
        <v>100</v>
      </c>
      <c r="D34" s="8">
        <f t="shared" si="0"/>
        <v>183</v>
      </c>
      <c r="E34" s="10">
        <f t="shared" si="6"/>
        <v>31060</v>
      </c>
      <c r="F34" s="10">
        <f t="shared" si="1"/>
        <v>31243</v>
      </c>
      <c r="G34" s="9">
        <f t="shared" si="2"/>
        <v>8.7149999999999999</v>
      </c>
      <c r="H34" s="9">
        <f t="shared" si="3"/>
        <v>9.5</v>
      </c>
      <c r="I34" s="9">
        <f t="shared" si="4"/>
        <v>18.215</v>
      </c>
      <c r="J34" s="130"/>
      <c r="K34" s="132"/>
      <c r="L34" s="158"/>
      <c r="M34" s="159"/>
      <c r="N34" s="16">
        <v>22</v>
      </c>
      <c r="O34" s="152">
        <f t="shared" si="5"/>
        <v>21.970000000000002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31243</v>
      </c>
      <c r="F35" s="10">
        <f t="shared" si="1"/>
        <v>31243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21.970000000000002</v>
      </c>
    </row>
    <row r="36" spans="1:15" x14ac:dyDescent="0.2">
      <c r="A36" s="10">
        <v>24</v>
      </c>
      <c r="B36" s="130">
        <v>16</v>
      </c>
      <c r="C36" s="130"/>
      <c r="D36" s="8">
        <f t="shared" si="0"/>
        <v>16</v>
      </c>
      <c r="E36" s="10">
        <f t="shared" si="6"/>
        <v>31243</v>
      </c>
      <c r="F36" s="10">
        <f t="shared" si="1"/>
        <v>31259</v>
      </c>
      <c r="G36" s="9">
        <f t="shared" si="2"/>
        <v>1.68</v>
      </c>
      <c r="H36" s="9">
        <f t="shared" si="3"/>
        <v>0</v>
      </c>
      <c r="I36" s="9">
        <f t="shared" si="4"/>
        <v>1.68</v>
      </c>
      <c r="J36" s="130">
        <v>68</v>
      </c>
      <c r="K36" s="132">
        <v>96.83</v>
      </c>
      <c r="L36" s="158"/>
      <c r="M36" s="159"/>
      <c r="N36" s="16">
        <v>24</v>
      </c>
      <c r="O36" s="152">
        <f t="shared" si="5"/>
        <v>88.29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31259</v>
      </c>
      <c r="F37" s="10">
        <f t="shared" si="1"/>
        <v>31259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88.29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31259</v>
      </c>
      <c r="F38" s="10">
        <f t="shared" si="1"/>
        <v>31259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88.29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31259</v>
      </c>
      <c r="F39" s="10">
        <f t="shared" si="1"/>
        <v>31259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88.29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31259</v>
      </c>
      <c r="F40" s="10">
        <f t="shared" si="1"/>
        <v>31259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88.29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31259</v>
      </c>
      <c r="F41" s="10">
        <f t="shared" si="1"/>
        <v>31259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88.29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31259</v>
      </c>
      <c r="F42" s="10">
        <f t="shared" si="1"/>
        <v>31259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88.29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31259</v>
      </c>
      <c r="F43" s="11">
        <f t="shared" si="1"/>
        <v>31259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88.29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184</v>
      </c>
      <c r="C46" s="12">
        <f>SUM(C13:C43)</f>
        <v>500</v>
      </c>
      <c r="D46" s="12">
        <f>SUM(D13:D43)</f>
        <v>684</v>
      </c>
      <c r="E46" s="12">
        <f>E7</f>
        <v>30575</v>
      </c>
      <c r="F46" s="12">
        <f>F43</f>
        <v>31259</v>
      </c>
      <c r="G46" s="13">
        <f t="shared" ref="G46:M46" si="7">SUM(G13:G43)</f>
        <v>19.32</v>
      </c>
      <c r="H46" s="13">
        <f t="shared" si="7"/>
        <v>47.5</v>
      </c>
      <c r="I46" s="13">
        <f t="shared" si="7"/>
        <v>66.820000000000007</v>
      </c>
      <c r="J46" s="13">
        <f t="shared" si="7"/>
        <v>68</v>
      </c>
      <c r="K46" s="99">
        <f t="shared" si="7"/>
        <v>96.83</v>
      </c>
      <c r="L46" s="13">
        <f t="shared" si="7"/>
        <v>0</v>
      </c>
      <c r="M46" s="13">
        <f t="shared" si="7"/>
        <v>0</v>
      </c>
      <c r="O46" s="194">
        <f>O43</f>
        <v>88.29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1.077</v>
      </c>
      <c r="F50" s="113" t="s">
        <v>51</v>
      </c>
      <c r="G50" s="111">
        <f>G46*$E50</f>
        <v>20.807639999999999</v>
      </c>
      <c r="H50" s="116">
        <f>H46*$E50</f>
        <v>51.157499999999999</v>
      </c>
      <c r="I50" s="117">
        <f>I46*$E50</f>
        <v>71.965140000000005</v>
      </c>
      <c r="J50" s="118">
        <f>J46+L46</f>
        <v>68</v>
      </c>
      <c r="K50" s="118">
        <f>K46+M46</f>
        <v>96.83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A4:B4"/>
    <mergeCell ref="A1:N1"/>
    <mergeCell ref="A3:B3"/>
    <mergeCell ref="F3:G3"/>
    <mergeCell ref="B11:D11"/>
    <mergeCell ref="E11:F11"/>
    <mergeCell ref="G11:I11"/>
    <mergeCell ref="L11:M11"/>
    <mergeCell ref="J11:K11"/>
    <mergeCell ref="L44:M44"/>
    <mergeCell ref="G48:I48"/>
    <mergeCell ref="J48:K48"/>
    <mergeCell ref="B44:D44"/>
    <mergeCell ref="E44:F44"/>
    <mergeCell ref="G44:I44"/>
    <mergeCell ref="J44:K44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22B2-AE55-447C-A56E-16181E7D419E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S38" sqref="S38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28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'04'!F7</f>
        <v>31259</v>
      </c>
      <c r="F7" s="98">
        <f>F43</f>
        <v>31482</v>
      </c>
      <c r="G7" s="72"/>
      <c r="H7" s="146" t="str">
        <f>IF(I7&gt;0,"  ",IF(I7&lt;0,"Pozor",0))</f>
        <v xml:space="preserve">  </v>
      </c>
      <c r="I7" s="145">
        <f>SUM(L4-L7)</f>
        <v>24.024999999999991</v>
      </c>
      <c r="J7" s="148" t="s">
        <v>63</v>
      </c>
      <c r="K7" s="56">
        <f>'04'!L7</f>
        <v>88.29</v>
      </c>
      <c r="L7" s="56">
        <f>O46</f>
        <v>65.975000000000009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'04'!L8</f>
        <v>95.088329999999999</v>
      </c>
      <c r="L8" s="56">
        <f>L7*E50</f>
        <v>71.055075000000002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50.672645739910315</v>
      </c>
      <c r="C9" s="137">
        <f>IF(D10&gt;0,C10/D10*100,0)</f>
        <v>49.327354260089685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113</v>
      </c>
      <c r="C10" s="90">
        <f>C46</f>
        <v>110</v>
      </c>
      <c r="D10" s="91">
        <f>D46</f>
        <v>223</v>
      </c>
      <c r="E10" s="61"/>
      <c r="F10" s="61"/>
      <c r="G10" s="88" t="s">
        <v>62</v>
      </c>
      <c r="H10" s="89"/>
      <c r="I10" s="92">
        <f>IF(F7&gt;E7,(I46/D46)*100,0)</f>
        <v>10.006726457399104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31259</v>
      </c>
      <c r="F13" s="8">
        <f>SUM(E13,D13)</f>
        <v>31259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88.29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31259</v>
      </c>
      <c r="F14" s="10">
        <f t="shared" ref="F14:F43" si="1">SUM(E14,D14)</f>
        <v>31259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88.29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31259</v>
      </c>
      <c r="F15" s="10">
        <f t="shared" si="1"/>
        <v>31259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88.29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31259</v>
      </c>
      <c r="F16" s="10">
        <f t="shared" si="1"/>
        <v>31259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88.29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31259</v>
      </c>
      <c r="F17" s="10">
        <f t="shared" si="1"/>
        <v>31259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88.29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31259</v>
      </c>
      <c r="F18" s="10">
        <f t="shared" si="1"/>
        <v>31259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88.29</v>
      </c>
    </row>
    <row r="19" spans="1:15" x14ac:dyDescent="0.2">
      <c r="A19" s="7">
        <v>7</v>
      </c>
      <c r="B19" s="130">
        <v>27</v>
      </c>
      <c r="C19" s="130"/>
      <c r="D19" s="8">
        <f t="shared" si="0"/>
        <v>27</v>
      </c>
      <c r="E19" s="10">
        <f t="shared" si="6"/>
        <v>31259</v>
      </c>
      <c r="F19" s="10">
        <f t="shared" si="1"/>
        <v>31286</v>
      </c>
      <c r="G19" s="9">
        <f t="shared" si="2"/>
        <v>2.835</v>
      </c>
      <c r="H19" s="9">
        <f t="shared" si="3"/>
        <v>0</v>
      </c>
      <c r="I19" s="9">
        <f t="shared" si="4"/>
        <v>2.835</v>
      </c>
      <c r="J19" s="130"/>
      <c r="K19" s="132"/>
      <c r="L19" s="158"/>
      <c r="M19" s="159"/>
      <c r="N19" s="16">
        <v>7</v>
      </c>
      <c r="O19" s="152">
        <f t="shared" si="5"/>
        <v>85.455000000000013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31286</v>
      </c>
      <c r="F20" s="10">
        <f t="shared" si="1"/>
        <v>31286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85.455000000000013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31286</v>
      </c>
      <c r="F21" s="10">
        <f t="shared" si="1"/>
        <v>31286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85.455000000000013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31286</v>
      </c>
      <c r="F22" s="10">
        <f t="shared" si="1"/>
        <v>31286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85.455000000000013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31286</v>
      </c>
      <c r="F23" s="10">
        <f t="shared" si="1"/>
        <v>31286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85.455000000000013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31286</v>
      </c>
      <c r="F24" s="10">
        <f t="shared" si="1"/>
        <v>31286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85.455000000000013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31286</v>
      </c>
      <c r="F25" s="10">
        <f t="shared" si="1"/>
        <v>31286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85.455000000000013</v>
      </c>
    </row>
    <row r="26" spans="1:15" x14ac:dyDescent="0.2">
      <c r="A26" s="10">
        <v>14</v>
      </c>
      <c r="B26" s="130">
        <v>20</v>
      </c>
      <c r="C26" s="130">
        <v>30</v>
      </c>
      <c r="D26" s="8">
        <f t="shared" si="0"/>
        <v>50</v>
      </c>
      <c r="E26" s="10">
        <f t="shared" si="6"/>
        <v>31286</v>
      </c>
      <c r="F26" s="10">
        <f t="shared" si="1"/>
        <v>31336</v>
      </c>
      <c r="G26" s="9">
        <f t="shared" si="2"/>
        <v>2.1</v>
      </c>
      <c r="H26" s="9">
        <f t="shared" si="3"/>
        <v>2.85</v>
      </c>
      <c r="I26" s="9">
        <f t="shared" si="4"/>
        <v>4.95</v>
      </c>
      <c r="J26" s="130"/>
      <c r="K26" s="132"/>
      <c r="L26" s="158"/>
      <c r="M26" s="159"/>
      <c r="N26" s="16">
        <v>14</v>
      </c>
      <c r="O26" s="152">
        <f t="shared" si="5"/>
        <v>80.50500000000001</v>
      </c>
    </row>
    <row r="27" spans="1:15" x14ac:dyDescent="0.2">
      <c r="A27" s="7">
        <v>15</v>
      </c>
      <c r="B27" s="130">
        <v>16</v>
      </c>
      <c r="C27" s="130"/>
      <c r="D27" s="8">
        <f t="shared" si="0"/>
        <v>16</v>
      </c>
      <c r="E27" s="10">
        <f t="shared" si="6"/>
        <v>31336</v>
      </c>
      <c r="F27" s="10">
        <f t="shared" si="1"/>
        <v>31352</v>
      </c>
      <c r="G27" s="9">
        <f t="shared" si="2"/>
        <v>1.68</v>
      </c>
      <c r="H27" s="9">
        <f t="shared" si="3"/>
        <v>0</v>
      </c>
      <c r="I27" s="9">
        <f t="shared" si="4"/>
        <v>1.68</v>
      </c>
      <c r="J27" s="130"/>
      <c r="K27" s="132"/>
      <c r="L27" s="158"/>
      <c r="M27" s="159"/>
      <c r="N27" s="16">
        <v>15</v>
      </c>
      <c r="O27" s="152">
        <f t="shared" si="5"/>
        <v>78.825000000000003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31352</v>
      </c>
      <c r="F28" s="10">
        <f t="shared" si="1"/>
        <v>31352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78.825000000000003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31352</v>
      </c>
      <c r="F29" s="10">
        <f t="shared" si="1"/>
        <v>31352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78.825000000000003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31352</v>
      </c>
      <c r="F30" s="10">
        <f t="shared" si="1"/>
        <v>31352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78.825000000000003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31352</v>
      </c>
      <c r="F31" s="10">
        <f t="shared" si="1"/>
        <v>31352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78.825000000000003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31352</v>
      </c>
      <c r="F32" s="10">
        <f t="shared" si="1"/>
        <v>31352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78.825000000000003</v>
      </c>
    </row>
    <row r="33" spans="1:15" x14ac:dyDescent="0.2">
      <c r="A33" s="7">
        <v>21</v>
      </c>
      <c r="B33" s="130">
        <v>40</v>
      </c>
      <c r="C33" s="130">
        <v>80</v>
      </c>
      <c r="D33" s="8">
        <f t="shared" si="0"/>
        <v>120</v>
      </c>
      <c r="E33" s="10">
        <f t="shared" si="6"/>
        <v>31352</v>
      </c>
      <c r="F33" s="10">
        <f t="shared" si="1"/>
        <v>31472</v>
      </c>
      <c r="G33" s="9">
        <f t="shared" si="2"/>
        <v>4.2</v>
      </c>
      <c r="H33" s="9">
        <f t="shared" si="3"/>
        <v>7.6</v>
      </c>
      <c r="I33" s="9">
        <f t="shared" si="4"/>
        <v>11.8</v>
      </c>
      <c r="J33" s="130"/>
      <c r="K33" s="132"/>
      <c r="L33" s="158"/>
      <c r="M33" s="159"/>
      <c r="N33" s="16">
        <v>21</v>
      </c>
      <c r="O33" s="152">
        <f t="shared" si="5"/>
        <v>67.025000000000006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31472</v>
      </c>
      <c r="F34" s="10">
        <f t="shared" si="1"/>
        <v>31472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67.025000000000006</v>
      </c>
    </row>
    <row r="35" spans="1:15" x14ac:dyDescent="0.2">
      <c r="A35" s="7">
        <v>23</v>
      </c>
      <c r="B35" s="130">
        <v>10</v>
      </c>
      <c r="C35" s="130"/>
      <c r="D35" s="8">
        <f t="shared" si="0"/>
        <v>10</v>
      </c>
      <c r="E35" s="10">
        <f t="shared" si="6"/>
        <v>31472</v>
      </c>
      <c r="F35" s="10">
        <f t="shared" si="1"/>
        <v>31482</v>
      </c>
      <c r="G35" s="9">
        <f t="shared" si="2"/>
        <v>1.05</v>
      </c>
      <c r="H35" s="9">
        <f t="shared" si="3"/>
        <v>0</v>
      </c>
      <c r="I35" s="9">
        <f t="shared" si="4"/>
        <v>1.05</v>
      </c>
      <c r="J35" s="130"/>
      <c r="K35" s="132"/>
      <c r="L35" s="158"/>
      <c r="M35" s="159"/>
      <c r="N35" s="16">
        <v>23</v>
      </c>
      <c r="O35" s="152">
        <f t="shared" si="5"/>
        <v>65.975000000000009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31482</v>
      </c>
      <c r="F36" s="10">
        <f t="shared" si="1"/>
        <v>31482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65.975000000000009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31482</v>
      </c>
      <c r="F37" s="10">
        <f t="shared" si="1"/>
        <v>31482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65.975000000000009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31482</v>
      </c>
      <c r="F38" s="10">
        <f t="shared" si="1"/>
        <v>31482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65.975000000000009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31482</v>
      </c>
      <c r="F39" s="10">
        <f t="shared" si="1"/>
        <v>31482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65.975000000000009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31482</v>
      </c>
      <c r="F40" s="10">
        <f t="shared" si="1"/>
        <v>31482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65.975000000000009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31482</v>
      </c>
      <c r="F41" s="10">
        <f t="shared" si="1"/>
        <v>31482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65.975000000000009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31482</v>
      </c>
      <c r="F42" s="10">
        <f t="shared" si="1"/>
        <v>31482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65.975000000000009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31482</v>
      </c>
      <c r="F43" s="11">
        <f t="shared" si="1"/>
        <v>31482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65.975000000000009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113</v>
      </c>
      <c r="C46" s="12">
        <f>SUM(C13:C43)</f>
        <v>110</v>
      </c>
      <c r="D46" s="12">
        <f>SUM(D13:D43)</f>
        <v>223</v>
      </c>
      <c r="E46" s="12">
        <f>E7</f>
        <v>31259</v>
      </c>
      <c r="F46" s="12">
        <f>F43</f>
        <v>31482</v>
      </c>
      <c r="G46" s="13">
        <f t="shared" ref="G46:M46" si="7">SUM(G13:G43)</f>
        <v>11.865000000000002</v>
      </c>
      <c r="H46" s="13">
        <f t="shared" si="7"/>
        <v>10.45</v>
      </c>
      <c r="I46" s="13">
        <f t="shared" si="7"/>
        <v>22.315000000000001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65.975000000000009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1.077</v>
      </c>
      <c r="F50" s="113" t="s">
        <v>51</v>
      </c>
      <c r="G50" s="111">
        <f>G46*$E50</f>
        <v>12.778605000000002</v>
      </c>
      <c r="H50" s="116">
        <f>H46*$E50</f>
        <v>11.254649999999998</v>
      </c>
      <c r="I50" s="117">
        <f>I46*$E50</f>
        <v>24.033255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L44:M44"/>
    <mergeCell ref="G48:I48"/>
    <mergeCell ref="J48:K48"/>
    <mergeCell ref="B44:D44"/>
    <mergeCell ref="E44:F44"/>
    <mergeCell ref="G44:I44"/>
    <mergeCell ref="J44:K44"/>
    <mergeCell ref="A1:N1"/>
    <mergeCell ref="A3:B3"/>
    <mergeCell ref="F3:G3"/>
    <mergeCell ref="A4:B4"/>
    <mergeCell ref="L11:M11"/>
    <mergeCell ref="J11:K11"/>
    <mergeCell ref="B11:D11"/>
    <mergeCell ref="E11:F11"/>
    <mergeCell ref="G11:I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03B-885B-4A52-9FD0-57A8A97D03C3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Z37" sqref="Z37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29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'05'!F7</f>
        <v>31482</v>
      </c>
      <c r="F7" s="98">
        <f>F43</f>
        <v>31565</v>
      </c>
      <c r="G7" s="72"/>
      <c r="H7" s="146" t="str">
        <f>IF(I7&gt;0,"  ",IF(I7&lt;0,"Pozor",0))</f>
        <v xml:space="preserve">  </v>
      </c>
      <c r="I7" s="145">
        <f>SUM(L4-L7)</f>
        <v>32.739999999999981</v>
      </c>
      <c r="J7" s="148" t="s">
        <v>63</v>
      </c>
      <c r="K7" s="56">
        <f>'05'!L7</f>
        <v>65.975000000000009</v>
      </c>
      <c r="L7" s="56">
        <f>O46</f>
        <v>57.260000000000019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'05'!L8</f>
        <v>71.055075000000002</v>
      </c>
      <c r="L8" s="56">
        <f>L7*E50</f>
        <v>61.669020000000017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100</v>
      </c>
      <c r="C9" s="137">
        <f>IF(D10&gt;0,C10/D10*100,0)</f>
        <v>0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83</v>
      </c>
      <c r="C10" s="90">
        <f>C46</f>
        <v>0</v>
      </c>
      <c r="D10" s="91">
        <f>D46</f>
        <v>83</v>
      </c>
      <c r="E10" s="61"/>
      <c r="F10" s="61"/>
      <c r="G10" s="88" t="s">
        <v>62</v>
      </c>
      <c r="H10" s="89"/>
      <c r="I10" s="92">
        <f>IF(F7&gt;E7,(I46/D46)*100,0)</f>
        <v>10.5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31482</v>
      </c>
      <c r="F13" s="8">
        <f>SUM(E13,D13)</f>
        <v>31482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65.975000000000009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31482</v>
      </c>
      <c r="F14" s="10">
        <f t="shared" ref="F14:F43" si="1">SUM(E14,D14)</f>
        <v>31482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65.975000000000009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31482</v>
      </c>
      <c r="F15" s="10">
        <f t="shared" si="1"/>
        <v>31482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65.975000000000009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31482</v>
      </c>
      <c r="F16" s="10">
        <f t="shared" si="1"/>
        <v>31482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65.975000000000009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31482</v>
      </c>
      <c r="F17" s="10">
        <f t="shared" si="1"/>
        <v>31482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65.975000000000009</v>
      </c>
    </row>
    <row r="18" spans="1:15" x14ac:dyDescent="0.2">
      <c r="A18" s="10">
        <v>6</v>
      </c>
      <c r="B18" s="130">
        <v>10</v>
      </c>
      <c r="C18" s="130"/>
      <c r="D18" s="8">
        <f t="shared" si="0"/>
        <v>10</v>
      </c>
      <c r="E18" s="10">
        <f t="shared" si="6"/>
        <v>31482</v>
      </c>
      <c r="F18" s="10">
        <f t="shared" si="1"/>
        <v>31492</v>
      </c>
      <c r="G18" s="9">
        <f t="shared" si="2"/>
        <v>1.05</v>
      </c>
      <c r="H18" s="9">
        <f t="shared" si="3"/>
        <v>0</v>
      </c>
      <c r="I18" s="9">
        <f t="shared" si="4"/>
        <v>1.05</v>
      </c>
      <c r="J18" s="130"/>
      <c r="K18" s="132"/>
      <c r="L18" s="160"/>
      <c r="M18" s="159"/>
      <c r="N18" s="16">
        <v>6</v>
      </c>
      <c r="O18" s="152">
        <f t="shared" si="5"/>
        <v>64.925000000000011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31492</v>
      </c>
      <c r="F19" s="10">
        <f t="shared" si="1"/>
        <v>31492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64.925000000000011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31492</v>
      </c>
      <c r="F20" s="10">
        <f t="shared" si="1"/>
        <v>31492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64.925000000000011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31492</v>
      </c>
      <c r="F21" s="10">
        <f t="shared" si="1"/>
        <v>31492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64.925000000000011</v>
      </c>
    </row>
    <row r="22" spans="1:15" x14ac:dyDescent="0.2">
      <c r="A22" s="10">
        <v>10</v>
      </c>
      <c r="B22" s="130">
        <v>35</v>
      </c>
      <c r="C22" s="130"/>
      <c r="D22" s="8">
        <f t="shared" si="0"/>
        <v>35</v>
      </c>
      <c r="E22" s="10">
        <f t="shared" si="6"/>
        <v>31492</v>
      </c>
      <c r="F22" s="10">
        <f t="shared" si="1"/>
        <v>31527</v>
      </c>
      <c r="G22" s="9">
        <f t="shared" si="2"/>
        <v>3.6749999999999998</v>
      </c>
      <c r="H22" s="9">
        <f t="shared" si="3"/>
        <v>0</v>
      </c>
      <c r="I22" s="9">
        <f t="shared" si="4"/>
        <v>3.6749999999999998</v>
      </c>
      <c r="J22" s="130"/>
      <c r="K22" s="132"/>
      <c r="L22" s="158"/>
      <c r="M22" s="159"/>
      <c r="N22" s="16">
        <v>10</v>
      </c>
      <c r="O22" s="152">
        <f t="shared" si="5"/>
        <v>61.250000000000014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31527</v>
      </c>
      <c r="F23" s="10">
        <f t="shared" si="1"/>
        <v>31527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61.250000000000014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31527</v>
      </c>
      <c r="F24" s="10">
        <f t="shared" si="1"/>
        <v>31527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61.250000000000014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31527</v>
      </c>
      <c r="F25" s="10">
        <f t="shared" si="1"/>
        <v>31527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61.250000000000014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31527</v>
      </c>
      <c r="F26" s="10">
        <f t="shared" si="1"/>
        <v>31527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61.250000000000014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31527</v>
      </c>
      <c r="F27" s="10">
        <f t="shared" si="1"/>
        <v>31527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61.250000000000014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31527</v>
      </c>
      <c r="F28" s="10">
        <f t="shared" si="1"/>
        <v>31527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61.250000000000014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31527</v>
      </c>
      <c r="F29" s="10">
        <f t="shared" si="1"/>
        <v>31527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61.250000000000014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31527</v>
      </c>
      <c r="F30" s="10">
        <f t="shared" si="1"/>
        <v>31527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61.250000000000014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31527</v>
      </c>
      <c r="F31" s="10">
        <f t="shared" si="1"/>
        <v>31527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61.250000000000014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31527</v>
      </c>
      <c r="F32" s="10">
        <f t="shared" si="1"/>
        <v>31527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61.250000000000014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31527</v>
      </c>
      <c r="F33" s="10">
        <f t="shared" si="1"/>
        <v>31527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61.250000000000014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31527</v>
      </c>
      <c r="F34" s="10">
        <f t="shared" si="1"/>
        <v>31527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61.250000000000014</v>
      </c>
    </row>
    <row r="35" spans="1:15" x14ac:dyDescent="0.2">
      <c r="A35" s="7">
        <v>23</v>
      </c>
      <c r="B35" s="130">
        <v>19</v>
      </c>
      <c r="C35" s="130"/>
      <c r="D35" s="8">
        <f t="shared" si="0"/>
        <v>19</v>
      </c>
      <c r="E35" s="10">
        <f t="shared" si="6"/>
        <v>31527</v>
      </c>
      <c r="F35" s="10">
        <f t="shared" si="1"/>
        <v>31546</v>
      </c>
      <c r="G35" s="9">
        <f t="shared" si="2"/>
        <v>1.9950000000000001</v>
      </c>
      <c r="H35" s="9">
        <f t="shared" si="3"/>
        <v>0</v>
      </c>
      <c r="I35" s="9">
        <f t="shared" si="4"/>
        <v>1.9950000000000001</v>
      </c>
      <c r="J35" s="130"/>
      <c r="K35" s="132"/>
      <c r="L35" s="158"/>
      <c r="M35" s="159"/>
      <c r="N35" s="16">
        <v>23</v>
      </c>
      <c r="O35" s="152">
        <f t="shared" si="5"/>
        <v>59.255000000000017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31546</v>
      </c>
      <c r="F36" s="10">
        <f t="shared" si="1"/>
        <v>31546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59.255000000000017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31546</v>
      </c>
      <c r="F37" s="10">
        <f t="shared" si="1"/>
        <v>31546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59.255000000000017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31546</v>
      </c>
      <c r="F38" s="10">
        <f t="shared" si="1"/>
        <v>31546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59.255000000000017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31546</v>
      </c>
      <c r="F39" s="10">
        <f t="shared" si="1"/>
        <v>31546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59.255000000000017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31546</v>
      </c>
      <c r="F40" s="10">
        <f t="shared" si="1"/>
        <v>31546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59.255000000000017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31546</v>
      </c>
      <c r="F41" s="10">
        <f t="shared" si="1"/>
        <v>31546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59.255000000000017</v>
      </c>
    </row>
    <row r="42" spans="1:15" x14ac:dyDescent="0.2">
      <c r="A42" s="10">
        <v>30</v>
      </c>
      <c r="B42" s="130">
        <v>19</v>
      </c>
      <c r="C42" s="130"/>
      <c r="D42" s="8">
        <f t="shared" si="0"/>
        <v>19</v>
      </c>
      <c r="E42" s="10">
        <f t="shared" si="6"/>
        <v>31546</v>
      </c>
      <c r="F42" s="10">
        <f t="shared" si="1"/>
        <v>31565</v>
      </c>
      <c r="G42" s="9">
        <f t="shared" si="2"/>
        <v>1.9950000000000001</v>
      </c>
      <c r="H42" s="9">
        <f t="shared" si="3"/>
        <v>0</v>
      </c>
      <c r="I42" s="9">
        <f t="shared" si="4"/>
        <v>1.9950000000000001</v>
      </c>
      <c r="J42" s="130"/>
      <c r="K42" s="132"/>
      <c r="L42" s="158"/>
      <c r="M42" s="159"/>
      <c r="N42" s="16">
        <v>30</v>
      </c>
      <c r="O42" s="152">
        <f t="shared" si="5"/>
        <v>57.260000000000019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31565</v>
      </c>
      <c r="F43" s="11">
        <f t="shared" si="1"/>
        <v>31565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57.260000000000019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83</v>
      </c>
      <c r="C46" s="12">
        <f>SUM(C13:C43)</f>
        <v>0</v>
      </c>
      <c r="D46" s="12">
        <f>SUM(D13:D43)</f>
        <v>83</v>
      </c>
      <c r="E46" s="12">
        <f>E7</f>
        <v>31482</v>
      </c>
      <c r="F46" s="12">
        <f>F43</f>
        <v>31565</v>
      </c>
      <c r="G46" s="13">
        <f t="shared" ref="G46:M46" si="7">SUM(G13:G43)</f>
        <v>8.7149999999999999</v>
      </c>
      <c r="H46" s="13">
        <f t="shared" si="7"/>
        <v>0</v>
      </c>
      <c r="I46" s="13">
        <f t="shared" si="7"/>
        <v>8.7149999999999999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57.260000000000019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1.077</v>
      </c>
      <c r="F50" s="113" t="s">
        <v>51</v>
      </c>
      <c r="G50" s="111">
        <f>G46*$E50</f>
        <v>9.3860549999999989</v>
      </c>
      <c r="H50" s="116">
        <f>H46*$E50</f>
        <v>0</v>
      </c>
      <c r="I50" s="117">
        <f>I46*$E50</f>
        <v>9.3860549999999989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A4:B4"/>
    <mergeCell ref="A1:N1"/>
    <mergeCell ref="A3:B3"/>
    <mergeCell ref="F3:G3"/>
    <mergeCell ref="B11:D11"/>
    <mergeCell ref="E11:F11"/>
    <mergeCell ref="G11:I11"/>
    <mergeCell ref="L11:M11"/>
    <mergeCell ref="J11:K11"/>
    <mergeCell ref="L44:M44"/>
    <mergeCell ref="G48:I48"/>
    <mergeCell ref="J48:K48"/>
    <mergeCell ref="B44:D44"/>
    <mergeCell ref="E44:F44"/>
    <mergeCell ref="G44:I44"/>
    <mergeCell ref="J44:K44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A762-C6BB-4E32-91DC-7E95D956DB4E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T41" sqref="T41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30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'06'!F7</f>
        <v>31565</v>
      </c>
      <c r="F7" s="98">
        <f>F43</f>
        <v>31648</v>
      </c>
      <c r="G7" s="72"/>
      <c r="H7" s="146" t="str">
        <f>IF(I7&gt;0,"  ",IF(I7&lt;0,"Pozor",0))</f>
        <v xml:space="preserve">  </v>
      </c>
      <c r="I7" s="145">
        <f>SUM(L4-L7)</f>
        <v>41.354999999999976</v>
      </c>
      <c r="J7" s="148" t="s">
        <v>63</v>
      </c>
      <c r="K7" s="56">
        <f>'06'!L7</f>
        <v>57.260000000000019</v>
      </c>
      <c r="L7" s="56">
        <f>O46</f>
        <v>48.645000000000024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'06'!L8</f>
        <v>61.669020000000017</v>
      </c>
      <c r="L8" s="56">
        <f>L7*E50</f>
        <v>52.390665000000027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87.951807228915655</v>
      </c>
      <c r="C9" s="137">
        <f>IF(D10&gt;0,C10/D10*100,0)</f>
        <v>12.048192771084338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73</v>
      </c>
      <c r="C10" s="90">
        <f>C46</f>
        <v>10</v>
      </c>
      <c r="D10" s="91">
        <f>D46</f>
        <v>83</v>
      </c>
      <c r="E10" s="61"/>
      <c r="F10" s="61"/>
      <c r="G10" s="88" t="s">
        <v>62</v>
      </c>
      <c r="H10" s="89"/>
      <c r="I10" s="92">
        <f>IF(F7&gt;E7,(I46/D46)*100,0)</f>
        <v>10.379518072289155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31565</v>
      </c>
      <c r="F13" s="8">
        <f>SUM(E13,D13)</f>
        <v>31565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57.260000000000019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31565</v>
      </c>
      <c r="F14" s="10">
        <f t="shared" ref="F14:F43" si="1">SUM(E14,D14)</f>
        <v>31565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57.260000000000019</v>
      </c>
    </row>
    <row r="15" spans="1:15" x14ac:dyDescent="0.2">
      <c r="A15" s="7">
        <v>3</v>
      </c>
      <c r="B15" s="130">
        <v>39</v>
      </c>
      <c r="C15" s="130"/>
      <c r="D15" s="8">
        <f t="shared" si="0"/>
        <v>39</v>
      </c>
      <c r="E15" s="10">
        <f t="shared" ref="E15:E43" si="6">F14</f>
        <v>31565</v>
      </c>
      <c r="F15" s="10">
        <f t="shared" si="1"/>
        <v>31604</v>
      </c>
      <c r="G15" s="9">
        <f t="shared" si="2"/>
        <v>4.0949999999999998</v>
      </c>
      <c r="H15" s="9">
        <f t="shared" si="3"/>
        <v>0</v>
      </c>
      <c r="I15" s="9">
        <f t="shared" si="4"/>
        <v>4.0949999999999998</v>
      </c>
      <c r="J15" s="130"/>
      <c r="K15" s="132"/>
      <c r="L15" s="158"/>
      <c r="M15" s="159"/>
      <c r="N15" s="16">
        <v>3</v>
      </c>
      <c r="O15" s="152">
        <f t="shared" si="5"/>
        <v>53.16500000000002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31604</v>
      </c>
      <c r="F16" s="10">
        <f t="shared" si="1"/>
        <v>31604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53.16500000000002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31604</v>
      </c>
      <c r="F17" s="10">
        <f t="shared" si="1"/>
        <v>31604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53.16500000000002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31604</v>
      </c>
      <c r="F18" s="10">
        <f t="shared" si="1"/>
        <v>31604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53.16500000000002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31604</v>
      </c>
      <c r="F19" s="10">
        <f t="shared" si="1"/>
        <v>31604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53.16500000000002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31604</v>
      </c>
      <c r="F20" s="10">
        <f t="shared" si="1"/>
        <v>31604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53.16500000000002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31604</v>
      </c>
      <c r="F21" s="10">
        <f t="shared" si="1"/>
        <v>31604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53.16500000000002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31604</v>
      </c>
      <c r="F22" s="10">
        <f t="shared" si="1"/>
        <v>31604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53.16500000000002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31604</v>
      </c>
      <c r="F23" s="10">
        <f t="shared" si="1"/>
        <v>31604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53.16500000000002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31604</v>
      </c>
      <c r="F24" s="10">
        <f t="shared" si="1"/>
        <v>31604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53.16500000000002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31604</v>
      </c>
      <c r="F25" s="10">
        <f t="shared" si="1"/>
        <v>31604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53.16500000000002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31604</v>
      </c>
      <c r="F26" s="10">
        <f t="shared" si="1"/>
        <v>31604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53.16500000000002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31604</v>
      </c>
      <c r="F27" s="10">
        <f t="shared" si="1"/>
        <v>31604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53.16500000000002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31604</v>
      </c>
      <c r="F28" s="10">
        <f t="shared" si="1"/>
        <v>31604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53.16500000000002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31604</v>
      </c>
      <c r="F29" s="10">
        <f t="shared" si="1"/>
        <v>31604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53.16500000000002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31604</v>
      </c>
      <c r="F30" s="10">
        <f t="shared" si="1"/>
        <v>31604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53.16500000000002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31604</v>
      </c>
      <c r="F31" s="10">
        <f t="shared" si="1"/>
        <v>31604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53.16500000000002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31604</v>
      </c>
      <c r="F32" s="10">
        <f t="shared" si="1"/>
        <v>31604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53.16500000000002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31604</v>
      </c>
      <c r="F33" s="10">
        <f t="shared" si="1"/>
        <v>31604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53.16500000000002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31604</v>
      </c>
      <c r="F34" s="10">
        <f t="shared" si="1"/>
        <v>31604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53.16500000000002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31604</v>
      </c>
      <c r="F35" s="10">
        <f t="shared" si="1"/>
        <v>31604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53.16500000000002</v>
      </c>
    </row>
    <row r="36" spans="1:15" x14ac:dyDescent="0.2">
      <c r="A36" s="10">
        <v>24</v>
      </c>
      <c r="B36" s="130">
        <v>34</v>
      </c>
      <c r="C36" s="130">
        <v>10</v>
      </c>
      <c r="D36" s="8">
        <f t="shared" si="0"/>
        <v>44</v>
      </c>
      <c r="E36" s="10">
        <f t="shared" si="6"/>
        <v>31604</v>
      </c>
      <c r="F36" s="10">
        <f t="shared" si="1"/>
        <v>31648</v>
      </c>
      <c r="G36" s="9">
        <f t="shared" si="2"/>
        <v>3.57</v>
      </c>
      <c r="H36" s="9">
        <f t="shared" si="3"/>
        <v>0.95</v>
      </c>
      <c r="I36" s="9">
        <f t="shared" si="4"/>
        <v>4.5199999999999996</v>
      </c>
      <c r="J36" s="130"/>
      <c r="K36" s="132"/>
      <c r="L36" s="158"/>
      <c r="M36" s="159"/>
      <c r="N36" s="16">
        <v>24</v>
      </c>
      <c r="O36" s="152">
        <f t="shared" si="5"/>
        <v>48.645000000000024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31648</v>
      </c>
      <c r="F37" s="10">
        <f t="shared" si="1"/>
        <v>31648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48.645000000000024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31648</v>
      </c>
      <c r="F38" s="10">
        <f t="shared" si="1"/>
        <v>31648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48.645000000000024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31648</v>
      </c>
      <c r="F39" s="10">
        <f t="shared" si="1"/>
        <v>31648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48.645000000000024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31648</v>
      </c>
      <c r="F40" s="10">
        <f t="shared" si="1"/>
        <v>31648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48.645000000000024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31648</v>
      </c>
      <c r="F41" s="10">
        <f t="shared" si="1"/>
        <v>31648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48.645000000000024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31648</v>
      </c>
      <c r="F42" s="10">
        <f t="shared" si="1"/>
        <v>31648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48.645000000000024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31648</v>
      </c>
      <c r="F43" s="11">
        <f t="shared" si="1"/>
        <v>31648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48.645000000000024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73</v>
      </c>
      <c r="C46" s="12">
        <f>SUM(C13:C43)</f>
        <v>10</v>
      </c>
      <c r="D46" s="12">
        <f>SUM(D13:D43)</f>
        <v>83</v>
      </c>
      <c r="E46" s="12">
        <f>E7</f>
        <v>31565</v>
      </c>
      <c r="F46" s="12">
        <f>F43</f>
        <v>31648</v>
      </c>
      <c r="G46" s="13">
        <f t="shared" ref="G46:M46" si="7">SUM(G13:G43)</f>
        <v>7.6649999999999991</v>
      </c>
      <c r="H46" s="13">
        <f t="shared" si="7"/>
        <v>0.95</v>
      </c>
      <c r="I46" s="13">
        <f t="shared" si="7"/>
        <v>8.6149999999999984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48.645000000000024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1.077</v>
      </c>
      <c r="F50" s="113" t="s">
        <v>51</v>
      </c>
      <c r="G50" s="111">
        <f>G46*$E50</f>
        <v>8.2552049999999983</v>
      </c>
      <c r="H50" s="116">
        <f>H46*$E50</f>
        <v>1.02315</v>
      </c>
      <c r="I50" s="117">
        <f>I46*$E50</f>
        <v>9.2783549999999977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L44:M44"/>
    <mergeCell ref="G48:I48"/>
    <mergeCell ref="J48:K48"/>
    <mergeCell ref="B44:D44"/>
    <mergeCell ref="E44:F44"/>
    <mergeCell ref="G44:I44"/>
    <mergeCell ref="J44:K44"/>
    <mergeCell ref="A1:N1"/>
    <mergeCell ref="A3:B3"/>
    <mergeCell ref="F3:G3"/>
    <mergeCell ref="A4:B4"/>
    <mergeCell ref="L11:M11"/>
    <mergeCell ref="J11:K11"/>
    <mergeCell ref="B11:D11"/>
    <mergeCell ref="E11:F11"/>
    <mergeCell ref="G11:I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538B-0B79-4B52-88FC-6C2AFA497B5A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W37" sqref="W37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31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'07'!F7</f>
        <v>31648</v>
      </c>
      <c r="F7" s="98">
        <f>F43</f>
        <v>32620</v>
      </c>
      <c r="G7" s="72"/>
      <c r="H7" s="146" t="str">
        <f>IF(I7&gt;0,"  ",IF(I7&lt;0,"Pozor",0))</f>
        <v xml:space="preserve">  </v>
      </c>
      <c r="I7" s="145">
        <f>SUM(L4-L7)</f>
        <v>1.3349999999999795</v>
      </c>
      <c r="J7" s="148" t="s">
        <v>63</v>
      </c>
      <c r="K7" s="56">
        <f>'07'!L7</f>
        <v>48.645000000000024</v>
      </c>
      <c r="L7" s="56">
        <f>O46</f>
        <v>88.66500000000002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'07'!L8</f>
        <v>52.390665000000027</v>
      </c>
      <c r="L8" s="56">
        <f>L7*E50</f>
        <v>86.182380000000023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32.304526748971192</v>
      </c>
      <c r="C9" s="137">
        <f>IF(D10&gt;0,C10/D10*100,0)</f>
        <v>67.695473251028801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314</v>
      </c>
      <c r="C10" s="90">
        <f>C46</f>
        <v>658</v>
      </c>
      <c r="D10" s="91">
        <f>D46</f>
        <v>972</v>
      </c>
      <c r="E10" s="61"/>
      <c r="F10" s="61"/>
      <c r="G10" s="88" t="s">
        <v>62</v>
      </c>
      <c r="H10" s="89"/>
      <c r="I10" s="92">
        <f>IF(F7&gt;E7,(I46/D46)*100,0)</f>
        <v>9.8230452674897109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31648</v>
      </c>
      <c r="F13" s="8">
        <f>SUM(E13,D13)</f>
        <v>31648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48.645000000000024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31648</v>
      </c>
      <c r="F14" s="10">
        <f t="shared" ref="F14:F43" si="1">SUM(E14,D14)</f>
        <v>31648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48.645000000000024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31648</v>
      </c>
      <c r="F15" s="10">
        <f t="shared" si="1"/>
        <v>31648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48.645000000000024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31648</v>
      </c>
      <c r="F16" s="10">
        <f t="shared" si="1"/>
        <v>31648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48.645000000000024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31648</v>
      </c>
      <c r="F17" s="10">
        <f t="shared" si="1"/>
        <v>31648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48.645000000000024</v>
      </c>
    </row>
    <row r="18" spans="1:15" x14ac:dyDescent="0.2">
      <c r="A18" s="10">
        <v>6</v>
      </c>
      <c r="B18" s="130">
        <v>14</v>
      </c>
      <c r="C18" s="130">
        <v>10</v>
      </c>
      <c r="D18" s="8">
        <f t="shared" si="0"/>
        <v>24</v>
      </c>
      <c r="E18" s="10">
        <f t="shared" si="6"/>
        <v>31648</v>
      </c>
      <c r="F18" s="10">
        <f t="shared" si="1"/>
        <v>31672</v>
      </c>
      <c r="G18" s="9">
        <f t="shared" si="2"/>
        <v>1.47</v>
      </c>
      <c r="H18" s="9">
        <f t="shared" si="3"/>
        <v>0.95</v>
      </c>
      <c r="I18" s="9">
        <f t="shared" si="4"/>
        <v>2.42</v>
      </c>
      <c r="J18" s="130"/>
      <c r="K18" s="132"/>
      <c r="L18" s="160"/>
      <c r="M18" s="159"/>
      <c r="N18" s="16">
        <v>6</v>
      </c>
      <c r="O18" s="152">
        <f t="shared" si="5"/>
        <v>46.225000000000023</v>
      </c>
    </row>
    <row r="19" spans="1:15" x14ac:dyDescent="0.2">
      <c r="A19" s="7">
        <v>7</v>
      </c>
      <c r="B19" s="130">
        <v>33</v>
      </c>
      <c r="C19" s="130">
        <v>30</v>
      </c>
      <c r="D19" s="8">
        <f t="shared" si="0"/>
        <v>63</v>
      </c>
      <c r="E19" s="10">
        <f t="shared" si="6"/>
        <v>31672</v>
      </c>
      <c r="F19" s="10">
        <f t="shared" si="1"/>
        <v>31735</v>
      </c>
      <c r="G19" s="9">
        <f t="shared" si="2"/>
        <v>3.4649999999999999</v>
      </c>
      <c r="H19" s="9">
        <f t="shared" si="3"/>
        <v>2.85</v>
      </c>
      <c r="I19" s="9">
        <f t="shared" si="4"/>
        <v>6.3149999999999995</v>
      </c>
      <c r="J19" s="130">
        <v>50</v>
      </c>
      <c r="K19" s="132">
        <v>73.95</v>
      </c>
      <c r="L19" s="158"/>
      <c r="M19" s="159"/>
      <c r="N19" s="16">
        <v>7</v>
      </c>
      <c r="O19" s="152">
        <f t="shared" si="5"/>
        <v>89.910000000000025</v>
      </c>
    </row>
    <row r="20" spans="1:15" x14ac:dyDescent="0.2">
      <c r="A20" s="10">
        <v>8</v>
      </c>
      <c r="B20" s="130">
        <v>85</v>
      </c>
      <c r="C20" s="130">
        <v>200</v>
      </c>
      <c r="D20" s="8">
        <f t="shared" si="0"/>
        <v>285</v>
      </c>
      <c r="E20" s="10">
        <f t="shared" si="6"/>
        <v>31735</v>
      </c>
      <c r="F20" s="10">
        <f t="shared" si="1"/>
        <v>32020</v>
      </c>
      <c r="G20" s="9">
        <f t="shared" si="2"/>
        <v>8.9250000000000007</v>
      </c>
      <c r="H20" s="9">
        <f t="shared" si="3"/>
        <v>19</v>
      </c>
      <c r="I20" s="9">
        <f t="shared" si="4"/>
        <v>27.925000000000001</v>
      </c>
      <c r="J20" s="130"/>
      <c r="K20" s="132"/>
      <c r="L20" s="158"/>
      <c r="M20" s="159"/>
      <c r="N20" s="16">
        <v>8</v>
      </c>
      <c r="O20" s="152">
        <f t="shared" si="5"/>
        <v>61.985000000000028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32020</v>
      </c>
      <c r="F21" s="10">
        <f t="shared" si="1"/>
        <v>32020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61.985000000000028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32020</v>
      </c>
      <c r="F22" s="10">
        <f t="shared" si="1"/>
        <v>32020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61.985000000000028</v>
      </c>
    </row>
    <row r="23" spans="1:15" x14ac:dyDescent="0.2">
      <c r="A23" s="7">
        <v>11</v>
      </c>
      <c r="B23" s="130">
        <v>40</v>
      </c>
      <c r="C23" s="130">
        <v>50</v>
      </c>
      <c r="D23" s="8">
        <f t="shared" si="0"/>
        <v>90</v>
      </c>
      <c r="E23" s="10">
        <f t="shared" si="6"/>
        <v>32020</v>
      </c>
      <c r="F23" s="10">
        <f t="shared" si="1"/>
        <v>32110</v>
      </c>
      <c r="G23" s="9">
        <f t="shared" si="2"/>
        <v>4.2</v>
      </c>
      <c r="H23" s="9">
        <f t="shared" si="3"/>
        <v>4.75</v>
      </c>
      <c r="I23" s="9">
        <f t="shared" si="4"/>
        <v>8.9499999999999993</v>
      </c>
      <c r="J23" s="130">
        <v>36</v>
      </c>
      <c r="K23" s="132">
        <v>52.7</v>
      </c>
      <c r="L23" s="158"/>
      <c r="M23" s="159"/>
      <c r="N23" s="16">
        <v>11</v>
      </c>
      <c r="O23" s="152">
        <f t="shared" si="5"/>
        <v>89.035000000000025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32110</v>
      </c>
      <c r="F24" s="10">
        <f t="shared" si="1"/>
        <v>32110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89.035000000000025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32110</v>
      </c>
      <c r="F25" s="10">
        <f t="shared" si="1"/>
        <v>32110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89.035000000000025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32110</v>
      </c>
      <c r="F26" s="10">
        <f t="shared" si="1"/>
        <v>32110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89.035000000000025</v>
      </c>
    </row>
    <row r="27" spans="1:15" x14ac:dyDescent="0.2">
      <c r="A27" s="7">
        <v>15</v>
      </c>
      <c r="B27" s="130">
        <v>100</v>
      </c>
      <c r="C27" s="130">
        <v>318</v>
      </c>
      <c r="D27" s="8">
        <f t="shared" si="0"/>
        <v>418</v>
      </c>
      <c r="E27" s="10">
        <f t="shared" si="6"/>
        <v>32110</v>
      </c>
      <c r="F27" s="10">
        <f t="shared" si="1"/>
        <v>32528</v>
      </c>
      <c r="G27" s="9">
        <f t="shared" si="2"/>
        <v>10.5</v>
      </c>
      <c r="H27" s="9">
        <f t="shared" si="3"/>
        <v>30.21</v>
      </c>
      <c r="I27" s="9">
        <f t="shared" si="4"/>
        <v>40.71</v>
      </c>
      <c r="J27" s="130"/>
      <c r="K27" s="132"/>
      <c r="L27" s="158"/>
      <c r="M27" s="159"/>
      <c r="N27" s="16">
        <v>15</v>
      </c>
      <c r="O27" s="152">
        <f t="shared" si="5"/>
        <v>48.325000000000024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32528</v>
      </c>
      <c r="F28" s="10">
        <f t="shared" si="1"/>
        <v>32528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48.325000000000024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32528</v>
      </c>
      <c r="F29" s="10">
        <f t="shared" si="1"/>
        <v>32528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48.325000000000024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32528</v>
      </c>
      <c r="F30" s="10">
        <f t="shared" si="1"/>
        <v>32528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48.325000000000024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32528</v>
      </c>
      <c r="F31" s="10">
        <f t="shared" si="1"/>
        <v>32528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48.325000000000024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32528</v>
      </c>
      <c r="F32" s="10">
        <f t="shared" si="1"/>
        <v>32528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48.325000000000024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32528</v>
      </c>
      <c r="F33" s="10">
        <f t="shared" si="1"/>
        <v>32528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48.325000000000024</v>
      </c>
    </row>
    <row r="34" spans="1:15" x14ac:dyDescent="0.2">
      <c r="A34" s="10">
        <v>22</v>
      </c>
      <c r="B34" s="130">
        <v>29</v>
      </c>
      <c r="C34" s="130">
        <v>50</v>
      </c>
      <c r="D34" s="8">
        <f t="shared" si="0"/>
        <v>79</v>
      </c>
      <c r="E34" s="10">
        <f t="shared" si="6"/>
        <v>32528</v>
      </c>
      <c r="F34" s="10">
        <f t="shared" si="1"/>
        <v>32607</v>
      </c>
      <c r="G34" s="9">
        <f t="shared" si="2"/>
        <v>3.0449999999999999</v>
      </c>
      <c r="H34" s="9">
        <f t="shared" si="3"/>
        <v>4.75</v>
      </c>
      <c r="I34" s="9">
        <f t="shared" si="4"/>
        <v>7.7949999999999999</v>
      </c>
      <c r="J34" s="130"/>
      <c r="K34" s="132"/>
      <c r="L34" s="158"/>
      <c r="M34" s="159"/>
      <c r="N34" s="16">
        <v>22</v>
      </c>
      <c r="O34" s="152">
        <f t="shared" si="5"/>
        <v>40.530000000000022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32607</v>
      </c>
      <c r="F35" s="10">
        <f t="shared" si="1"/>
        <v>32607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40.530000000000022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32607</v>
      </c>
      <c r="F36" s="10">
        <f t="shared" si="1"/>
        <v>32607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40.530000000000022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32607</v>
      </c>
      <c r="F37" s="10">
        <f t="shared" si="1"/>
        <v>32607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40.530000000000022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32607</v>
      </c>
      <c r="F38" s="10">
        <f t="shared" si="1"/>
        <v>32607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40.530000000000022</v>
      </c>
    </row>
    <row r="39" spans="1:15" x14ac:dyDescent="0.2">
      <c r="A39" s="7">
        <v>27</v>
      </c>
      <c r="B39" s="130">
        <v>13</v>
      </c>
      <c r="C39" s="130"/>
      <c r="D39" s="8">
        <f t="shared" si="0"/>
        <v>13</v>
      </c>
      <c r="E39" s="10">
        <f t="shared" si="6"/>
        <v>32607</v>
      </c>
      <c r="F39" s="10">
        <f t="shared" si="1"/>
        <v>32620</v>
      </c>
      <c r="G39" s="9">
        <f t="shared" si="2"/>
        <v>1.365</v>
      </c>
      <c r="H39" s="9">
        <f t="shared" si="3"/>
        <v>0</v>
      </c>
      <c r="I39" s="9">
        <f t="shared" si="4"/>
        <v>1.365</v>
      </c>
      <c r="J39" s="130">
        <v>49.5</v>
      </c>
      <c r="K39" s="132"/>
      <c r="L39" s="158"/>
      <c r="M39" s="159"/>
      <c r="N39" s="16">
        <v>27</v>
      </c>
      <c r="O39" s="152">
        <f t="shared" si="5"/>
        <v>88.66500000000002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32620</v>
      </c>
      <c r="F40" s="10">
        <f t="shared" si="1"/>
        <v>32620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88.66500000000002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32620</v>
      </c>
      <c r="F41" s="10">
        <f t="shared" si="1"/>
        <v>32620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88.66500000000002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32620</v>
      </c>
      <c r="F42" s="10">
        <f t="shared" si="1"/>
        <v>32620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88.66500000000002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32620</v>
      </c>
      <c r="F43" s="11">
        <f t="shared" si="1"/>
        <v>32620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88.66500000000002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314</v>
      </c>
      <c r="C46" s="12">
        <f>SUM(C13:C43)</f>
        <v>658</v>
      </c>
      <c r="D46" s="12">
        <f>SUM(D13:D43)</f>
        <v>972</v>
      </c>
      <c r="E46" s="12">
        <f>E7</f>
        <v>31648</v>
      </c>
      <c r="F46" s="12">
        <f>F43</f>
        <v>32620</v>
      </c>
      <c r="G46" s="13">
        <f t="shared" ref="G46:M46" si="7">SUM(G13:G43)</f>
        <v>32.97</v>
      </c>
      <c r="H46" s="13">
        <f t="shared" si="7"/>
        <v>62.510000000000005</v>
      </c>
      <c r="I46" s="13">
        <f t="shared" si="7"/>
        <v>95.47999999999999</v>
      </c>
      <c r="J46" s="13">
        <f t="shared" si="7"/>
        <v>135.5</v>
      </c>
      <c r="K46" s="99">
        <f t="shared" si="7"/>
        <v>126.65</v>
      </c>
      <c r="L46" s="13">
        <f t="shared" si="7"/>
        <v>0</v>
      </c>
      <c r="M46" s="13">
        <f t="shared" si="7"/>
        <v>0</v>
      </c>
      <c r="O46" s="194">
        <f>O43</f>
        <v>88.66500000000002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0.97199999999999998</v>
      </c>
      <c r="F50" s="113" t="s">
        <v>51</v>
      </c>
      <c r="G50" s="111">
        <f>G46*$E50</f>
        <v>32.046839999999996</v>
      </c>
      <c r="H50" s="116">
        <f>H46*$E50</f>
        <v>60.759720000000002</v>
      </c>
      <c r="I50" s="117">
        <f>I46*$E50</f>
        <v>92.80655999999999</v>
      </c>
      <c r="J50" s="118">
        <f>J46+L46</f>
        <v>135.5</v>
      </c>
      <c r="K50" s="118">
        <f>K46+M46</f>
        <v>126.65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A4:B4"/>
    <mergeCell ref="A1:N1"/>
    <mergeCell ref="A3:B3"/>
    <mergeCell ref="F3:G3"/>
    <mergeCell ref="B11:D11"/>
    <mergeCell ref="E11:F11"/>
    <mergeCell ref="G11:I11"/>
    <mergeCell ref="L11:M11"/>
    <mergeCell ref="J11:K11"/>
    <mergeCell ref="L44:M44"/>
    <mergeCell ref="G48:I48"/>
    <mergeCell ref="J48:K48"/>
    <mergeCell ref="B44:D44"/>
    <mergeCell ref="E44:F44"/>
    <mergeCell ref="G44:I44"/>
    <mergeCell ref="J44:K44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D62E-514E-425E-97F3-DB50C5380304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V37" sqref="V37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32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'08'!F7</f>
        <v>32620</v>
      </c>
      <c r="F7" s="98">
        <f>F43</f>
        <v>32876</v>
      </c>
      <c r="G7" s="72"/>
      <c r="H7" s="146" t="str">
        <f>IF(I7&gt;0,"  ",IF(I7&lt;0,"Pozor",0))</f>
        <v xml:space="preserve">  </v>
      </c>
      <c r="I7" s="145">
        <f>SUM(L4-L7)</f>
        <v>27.434999999999974</v>
      </c>
      <c r="J7" s="148" t="s">
        <v>63</v>
      </c>
      <c r="K7" s="56">
        <f>'08'!L7</f>
        <v>88.66500000000002</v>
      </c>
      <c r="L7" s="56">
        <f>O46</f>
        <v>62.565000000000026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'08'!L8</f>
        <v>86.182380000000023</v>
      </c>
      <c r="L8" s="56">
        <f>L7*E50</f>
        <v>60.813180000000024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69.53125</v>
      </c>
      <c r="C9" s="137">
        <f>IF(D10&gt;0,C10/D10*100,0)</f>
        <v>30.46875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178</v>
      </c>
      <c r="C10" s="90">
        <f>C46</f>
        <v>78</v>
      </c>
      <c r="D10" s="91">
        <f>D46</f>
        <v>256</v>
      </c>
      <c r="E10" s="61"/>
      <c r="F10" s="61"/>
      <c r="G10" s="88" t="s">
        <v>62</v>
      </c>
      <c r="H10" s="89"/>
      <c r="I10" s="92">
        <f>IF(F7&gt;E7,(I46/D46)*100,0)</f>
        <v>10.1953125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32620</v>
      </c>
      <c r="F13" s="8">
        <f>SUM(E13,D13)</f>
        <v>32620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88.66500000000002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32620</v>
      </c>
      <c r="F14" s="10">
        <f t="shared" ref="F14:F43" si="1">SUM(E14,D14)</f>
        <v>32620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88.66500000000002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32620</v>
      </c>
      <c r="F15" s="10">
        <f t="shared" si="1"/>
        <v>32620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88.66500000000002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32620</v>
      </c>
      <c r="F16" s="10">
        <f t="shared" si="1"/>
        <v>32620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88.66500000000002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32620</v>
      </c>
      <c r="F17" s="10">
        <f t="shared" si="1"/>
        <v>32620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88.66500000000002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32620</v>
      </c>
      <c r="F18" s="10">
        <f t="shared" si="1"/>
        <v>32620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88.66500000000002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32620</v>
      </c>
      <c r="F19" s="10">
        <f t="shared" si="1"/>
        <v>32620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88.66500000000002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32620</v>
      </c>
      <c r="F20" s="10">
        <f t="shared" si="1"/>
        <v>32620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88.66500000000002</v>
      </c>
    </row>
    <row r="21" spans="1:15" x14ac:dyDescent="0.2">
      <c r="A21" s="7">
        <v>9</v>
      </c>
      <c r="B21" s="130">
        <v>37</v>
      </c>
      <c r="C21" s="130"/>
      <c r="D21" s="8">
        <f t="shared" si="0"/>
        <v>37</v>
      </c>
      <c r="E21" s="10">
        <f t="shared" si="6"/>
        <v>32620</v>
      </c>
      <c r="F21" s="10">
        <f t="shared" si="1"/>
        <v>32657</v>
      </c>
      <c r="G21" s="9">
        <f t="shared" si="2"/>
        <v>3.8849999999999998</v>
      </c>
      <c r="H21" s="9">
        <f t="shared" si="3"/>
        <v>0</v>
      </c>
      <c r="I21" s="9">
        <f t="shared" si="4"/>
        <v>3.8849999999999998</v>
      </c>
      <c r="J21" s="130"/>
      <c r="K21" s="132"/>
      <c r="L21" s="158"/>
      <c r="M21" s="159"/>
      <c r="N21" s="16">
        <v>9</v>
      </c>
      <c r="O21" s="152">
        <f t="shared" si="5"/>
        <v>84.780000000000015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32657</v>
      </c>
      <c r="F22" s="10">
        <f t="shared" si="1"/>
        <v>32657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84.780000000000015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32657</v>
      </c>
      <c r="F23" s="10">
        <f t="shared" si="1"/>
        <v>32657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84.780000000000015</v>
      </c>
    </row>
    <row r="24" spans="1:15" x14ac:dyDescent="0.2">
      <c r="A24" s="10">
        <v>12</v>
      </c>
      <c r="B24" s="130">
        <v>25</v>
      </c>
      <c r="C24" s="130"/>
      <c r="D24" s="8">
        <f t="shared" si="0"/>
        <v>25</v>
      </c>
      <c r="E24" s="10">
        <f t="shared" si="6"/>
        <v>32657</v>
      </c>
      <c r="F24" s="10">
        <f t="shared" si="1"/>
        <v>32682</v>
      </c>
      <c r="G24" s="9">
        <f t="shared" si="2"/>
        <v>2.625</v>
      </c>
      <c r="H24" s="9">
        <f t="shared" si="3"/>
        <v>0</v>
      </c>
      <c r="I24" s="9">
        <f t="shared" si="4"/>
        <v>2.625</v>
      </c>
      <c r="J24" s="130"/>
      <c r="K24" s="132"/>
      <c r="L24" s="158"/>
      <c r="M24" s="159"/>
      <c r="N24" s="16">
        <v>12</v>
      </c>
      <c r="O24" s="152">
        <f t="shared" si="5"/>
        <v>82.155000000000015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32682</v>
      </c>
      <c r="F25" s="10">
        <f t="shared" si="1"/>
        <v>32682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82.155000000000015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32682</v>
      </c>
      <c r="F26" s="10">
        <f t="shared" si="1"/>
        <v>32682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82.155000000000015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32682</v>
      </c>
      <c r="F27" s="10">
        <f t="shared" si="1"/>
        <v>32682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82.155000000000015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32682</v>
      </c>
      <c r="F28" s="10">
        <f t="shared" si="1"/>
        <v>32682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82.155000000000015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32682</v>
      </c>
      <c r="F29" s="10">
        <f t="shared" si="1"/>
        <v>32682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82.155000000000015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32682</v>
      </c>
      <c r="F30" s="10">
        <f t="shared" si="1"/>
        <v>32682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82.155000000000015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32682</v>
      </c>
      <c r="F31" s="10">
        <f t="shared" si="1"/>
        <v>32682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82.155000000000015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32682</v>
      </c>
      <c r="F32" s="10">
        <f t="shared" si="1"/>
        <v>32682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82.155000000000015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32682</v>
      </c>
      <c r="F33" s="10">
        <f t="shared" si="1"/>
        <v>32682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82.155000000000015</v>
      </c>
    </row>
    <row r="34" spans="1:15" x14ac:dyDescent="0.2">
      <c r="A34" s="10">
        <v>22</v>
      </c>
      <c r="B34" s="130">
        <v>10</v>
      </c>
      <c r="C34" s="130"/>
      <c r="D34" s="8">
        <f t="shared" si="0"/>
        <v>10</v>
      </c>
      <c r="E34" s="10">
        <f t="shared" si="6"/>
        <v>32682</v>
      </c>
      <c r="F34" s="10">
        <f t="shared" si="1"/>
        <v>32692</v>
      </c>
      <c r="G34" s="9">
        <f t="shared" si="2"/>
        <v>1.05</v>
      </c>
      <c r="H34" s="9">
        <f t="shared" si="3"/>
        <v>0</v>
      </c>
      <c r="I34" s="9">
        <f t="shared" si="4"/>
        <v>1.05</v>
      </c>
      <c r="J34" s="130"/>
      <c r="K34" s="132"/>
      <c r="L34" s="158"/>
      <c r="M34" s="159"/>
      <c r="N34" s="16">
        <v>22</v>
      </c>
      <c r="O34" s="152">
        <f t="shared" si="5"/>
        <v>81.105000000000018</v>
      </c>
    </row>
    <row r="35" spans="1:15" x14ac:dyDescent="0.2">
      <c r="A35" s="7">
        <v>23</v>
      </c>
      <c r="B35" s="130">
        <v>50</v>
      </c>
      <c r="C35" s="130">
        <v>28</v>
      </c>
      <c r="D35" s="8">
        <f t="shared" si="0"/>
        <v>78</v>
      </c>
      <c r="E35" s="10">
        <f t="shared" si="6"/>
        <v>32692</v>
      </c>
      <c r="F35" s="10">
        <f t="shared" si="1"/>
        <v>32770</v>
      </c>
      <c r="G35" s="9">
        <f t="shared" si="2"/>
        <v>5.25</v>
      </c>
      <c r="H35" s="9">
        <f t="shared" si="3"/>
        <v>2.66</v>
      </c>
      <c r="I35" s="9">
        <f t="shared" si="4"/>
        <v>7.91</v>
      </c>
      <c r="J35" s="130"/>
      <c r="K35" s="132"/>
      <c r="L35" s="158"/>
      <c r="M35" s="159"/>
      <c r="N35" s="16">
        <v>23</v>
      </c>
      <c r="O35" s="152">
        <f t="shared" si="5"/>
        <v>73.195000000000022</v>
      </c>
    </row>
    <row r="36" spans="1:15" x14ac:dyDescent="0.2">
      <c r="A36" s="10">
        <v>24</v>
      </c>
      <c r="B36" s="130">
        <v>56</v>
      </c>
      <c r="C36" s="130">
        <v>50</v>
      </c>
      <c r="D36" s="8">
        <f t="shared" si="0"/>
        <v>106</v>
      </c>
      <c r="E36" s="10">
        <f t="shared" si="6"/>
        <v>32770</v>
      </c>
      <c r="F36" s="10">
        <f t="shared" si="1"/>
        <v>32876</v>
      </c>
      <c r="G36" s="9">
        <f t="shared" si="2"/>
        <v>5.88</v>
      </c>
      <c r="H36" s="9">
        <f t="shared" si="3"/>
        <v>4.75</v>
      </c>
      <c r="I36" s="9">
        <f t="shared" si="4"/>
        <v>10.629999999999999</v>
      </c>
      <c r="J36" s="130"/>
      <c r="K36" s="132"/>
      <c r="L36" s="158"/>
      <c r="M36" s="159"/>
      <c r="N36" s="16">
        <v>24</v>
      </c>
      <c r="O36" s="152">
        <f t="shared" si="5"/>
        <v>62.565000000000026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32876</v>
      </c>
      <c r="F37" s="10">
        <f t="shared" si="1"/>
        <v>32876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62.565000000000026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32876</v>
      </c>
      <c r="F38" s="10">
        <f t="shared" si="1"/>
        <v>32876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62.565000000000026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32876</v>
      </c>
      <c r="F39" s="10">
        <f t="shared" si="1"/>
        <v>32876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62.565000000000026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32876</v>
      </c>
      <c r="F40" s="10">
        <f t="shared" si="1"/>
        <v>32876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62.565000000000026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32876</v>
      </c>
      <c r="F41" s="10">
        <f t="shared" si="1"/>
        <v>32876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62.565000000000026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32876</v>
      </c>
      <c r="F42" s="10">
        <f t="shared" si="1"/>
        <v>32876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62.565000000000026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32876</v>
      </c>
      <c r="F43" s="11">
        <f t="shared" si="1"/>
        <v>32876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62.565000000000026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178</v>
      </c>
      <c r="C46" s="12">
        <f>SUM(C13:C43)</f>
        <v>78</v>
      </c>
      <c r="D46" s="12">
        <f>SUM(D13:D43)</f>
        <v>256</v>
      </c>
      <c r="E46" s="12">
        <f>E7</f>
        <v>32620</v>
      </c>
      <c r="F46" s="12">
        <f>F43</f>
        <v>32876</v>
      </c>
      <c r="G46" s="13">
        <f t="shared" ref="G46:M46" si="7">SUM(G13:G43)</f>
        <v>18.689999999999998</v>
      </c>
      <c r="H46" s="13">
        <f t="shared" si="7"/>
        <v>7.41</v>
      </c>
      <c r="I46" s="13">
        <f t="shared" si="7"/>
        <v>26.099999999999998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62.565000000000026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0.97199999999999998</v>
      </c>
      <c r="F50" s="113" t="s">
        <v>51</v>
      </c>
      <c r="G50" s="111">
        <f>G46*$E50</f>
        <v>18.166679999999996</v>
      </c>
      <c r="H50" s="116">
        <f>H46*$E50</f>
        <v>7.2025199999999998</v>
      </c>
      <c r="I50" s="117">
        <f>I46*$E50</f>
        <v>25.369199999999996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L44:M44"/>
    <mergeCell ref="G48:I48"/>
    <mergeCell ref="J48:K48"/>
    <mergeCell ref="B44:D44"/>
    <mergeCell ref="E44:F44"/>
    <mergeCell ref="G44:I44"/>
    <mergeCell ref="J44:K44"/>
    <mergeCell ref="A1:N1"/>
    <mergeCell ref="A3:B3"/>
    <mergeCell ref="F3:G3"/>
    <mergeCell ref="A4:B4"/>
    <mergeCell ref="L11:M11"/>
    <mergeCell ref="J11:K11"/>
    <mergeCell ref="B11:D11"/>
    <mergeCell ref="E11:F11"/>
    <mergeCell ref="G11:I11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0D25-6DA9-4151-8E2C-18162AA53FC2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S37" sqref="S37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33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'09'!F7</f>
        <v>32876</v>
      </c>
      <c r="F7" s="98">
        <f>F43</f>
        <v>33052</v>
      </c>
      <c r="G7" s="72"/>
      <c r="H7" s="146" t="str">
        <f>IF(I7&gt;0,"  ",IF(I7&lt;0,"Pozor",0))</f>
        <v xml:space="preserve">  </v>
      </c>
      <c r="I7" s="145">
        <f>SUM(L4-L7)</f>
        <v>45.614999999999974</v>
      </c>
      <c r="J7" s="148" t="s">
        <v>63</v>
      </c>
      <c r="K7" s="56">
        <f>'09'!L7</f>
        <v>62.565000000000026</v>
      </c>
      <c r="L7" s="56">
        <f>O46</f>
        <v>44.385000000000026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'09'!L8</f>
        <v>60.813180000000024</v>
      </c>
      <c r="L8" s="56">
        <f>L7*E50</f>
        <v>43.142220000000023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82.954545454545453</v>
      </c>
      <c r="C9" s="137">
        <f>IF(D10&gt;0,C10/D10*100,0)</f>
        <v>17.045454545454543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146</v>
      </c>
      <c r="C10" s="90">
        <f>C46</f>
        <v>30</v>
      </c>
      <c r="D10" s="91">
        <f>D46</f>
        <v>176</v>
      </c>
      <c r="E10" s="61"/>
      <c r="F10" s="61"/>
      <c r="G10" s="88" t="s">
        <v>62</v>
      </c>
      <c r="H10" s="89"/>
      <c r="I10" s="92">
        <f>IF(F7&gt;E7,(I46/D46)*100,0)</f>
        <v>10.329545454545453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32876</v>
      </c>
      <c r="F13" s="8">
        <f>SUM(E13,D13)</f>
        <v>32876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62.565000000000026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32876</v>
      </c>
      <c r="F14" s="10">
        <f t="shared" ref="F14:F43" si="1">SUM(E14,D14)</f>
        <v>32876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62.565000000000026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32876</v>
      </c>
      <c r="F15" s="10">
        <f t="shared" si="1"/>
        <v>32876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62.565000000000026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32876</v>
      </c>
      <c r="F16" s="10">
        <f t="shared" si="1"/>
        <v>32876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62.565000000000026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32876</v>
      </c>
      <c r="F17" s="10">
        <f t="shared" si="1"/>
        <v>32876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62.565000000000026</v>
      </c>
    </row>
    <row r="18" spans="1:15" x14ac:dyDescent="0.2">
      <c r="A18" s="10">
        <v>6</v>
      </c>
      <c r="B18" s="130">
        <v>21</v>
      </c>
      <c r="C18" s="130">
        <v>10</v>
      </c>
      <c r="D18" s="8">
        <f t="shared" si="0"/>
        <v>31</v>
      </c>
      <c r="E18" s="10">
        <f t="shared" si="6"/>
        <v>32876</v>
      </c>
      <c r="F18" s="10">
        <f t="shared" si="1"/>
        <v>32907</v>
      </c>
      <c r="G18" s="9">
        <f t="shared" si="2"/>
        <v>2.2050000000000001</v>
      </c>
      <c r="H18" s="9">
        <f t="shared" si="3"/>
        <v>0.95</v>
      </c>
      <c r="I18" s="9">
        <f t="shared" si="4"/>
        <v>3.1550000000000002</v>
      </c>
      <c r="J18" s="130"/>
      <c r="K18" s="132"/>
      <c r="L18" s="160"/>
      <c r="M18" s="159"/>
      <c r="N18" s="16">
        <v>6</v>
      </c>
      <c r="O18" s="152">
        <f t="shared" si="5"/>
        <v>59.410000000000025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32907</v>
      </c>
      <c r="F19" s="10">
        <f t="shared" si="1"/>
        <v>32907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59.410000000000025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32907</v>
      </c>
      <c r="F20" s="10">
        <f t="shared" si="1"/>
        <v>32907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59.410000000000025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32907</v>
      </c>
      <c r="F21" s="10">
        <f t="shared" si="1"/>
        <v>32907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59.410000000000025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32907</v>
      </c>
      <c r="F22" s="10">
        <f t="shared" si="1"/>
        <v>32907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59.410000000000025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32907</v>
      </c>
      <c r="F23" s="10">
        <f t="shared" si="1"/>
        <v>32907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59.410000000000025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32907</v>
      </c>
      <c r="F24" s="10">
        <f t="shared" si="1"/>
        <v>32907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59.410000000000025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32907</v>
      </c>
      <c r="F25" s="10">
        <f t="shared" si="1"/>
        <v>32907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59.410000000000025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32907</v>
      </c>
      <c r="F26" s="10">
        <f t="shared" si="1"/>
        <v>32907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59.410000000000025</v>
      </c>
    </row>
    <row r="27" spans="1:15" x14ac:dyDescent="0.2">
      <c r="A27" s="7">
        <v>15</v>
      </c>
      <c r="B27" s="130">
        <v>53</v>
      </c>
      <c r="C27" s="130"/>
      <c r="D27" s="8">
        <f t="shared" si="0"/>
        <v>53</v>
      </c>
      <c r="E27" s="10">
        <f t="shared" si="6"/>
        <v>32907</v>
      </c>
      <c r="F27" s="10">
        <f t="shared" si="1"/>
        <v>32960</v>
      </c>
      <c r="G27" s="9">
        <f t="shared" si="2"/>
        <v>5.5650000000000004</v>
      </c>
      <c r="H27" s="9">
        <f t="shared" si="3"/>
        <v>0</v>
      </c>
      <c r="I27" s="9">
        <f t="shared" si="4"/>
        <v>5.5650000000000004</v>
      </c>
      <c r="J27" s="130"/>
      <c r="K27" s="132"/>
      <c r="L27" s="158"/>
      <c r="M27" s="159"/>
      <c r="N27" s="16">
        <v>15</v>
      </c>
      <c r="O27" s="152">
        <f t="shared" si="5"/>
        <v>53.845000000000027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32960</v>
      </c>
      <c r="F28" s="10">
        <f t="shared" si="1"/>
        <v>32960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53.845000000000027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32960</v>
      </c>
      <c r="F29" s="10">
        <f t="shared" si="1"/>
        <v>32960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53.845000000000027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32960</v>
      </c>
      <c r="F30" s="10">
        <f t="shared" si="1"/>
        <v>32960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53.845000000000027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32960</v>
      </c>
      <c r="F31" s="10">
        <f t="shared" si="1"/>
        <v>32960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53.845000000000027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32960</v>
      </c>
      <c r="F32" s="10">
        <f t="shared" si="1"/>
        <v>32960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53.845000000000027</v>
      </c>
    </row>
    <row r="33" spans="1:15" x14ac:dyDescent="0.2">
      <c r="A33" s="7">
        <v>21</v>
      </c>
      <c r="B33" s="130">
        <v>23</v>
      </c>
      <c r="C33" s="130"/>
      <c r="D33" s="8">
        <f t="shared" si="0"/>
        <v>23</v>
      </c>
      <c r="E33" s="10">
        <f t="shared" si="6"/>
        <v>32960</v>
      </c>
      <c r="F33" s="10">
        <f t="shared" si="1"/>
        <v>32983</v>
      </c>
      <c r="G33" s="9">
        <f t="shared" si="2"/>
        <v>2.415</v>
      </c>
      <c r="H33" s="9">
        <f t="shared" si="3"/>
        <v>0</v>
      </c>
      <c r="I33" s="9">
        <f t="shared" si="4"/>
        <v>2.415</v>
      </c>
      <c r="J33" s="130"/>
      <c r="K33" s="132"/>
      <c r="L33" s="158"/>
      <c r="M33" s="159"/>
      <c r="N33" s="16">
        <v>21</v>
      </c>
      <c r="O33" s="152">
        <f t="shared" si="5"/>
        <v>51.430000000000028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32983</v>
      </c>
      <c r="F34" s="10">
        <f t="shared" si="1"/>
        <v>32983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51.430000000000028</v>
      </c>
    </row>
    <row r="35" spans="1:15" x14ac:dyDescent="0.2">
      <c r="A35" s="7">
        <v>23</v>
      </c>
      <c r="B35" s="130">
        <v>40</v>
      </c>
      <c r="C35" s="130">
        <v>20</v>
      </c>
      <c r="D35" s="8">
        <f t="shared" si="0"/>
        <v>60</v>
      </c>
      <c r="E35" s="10">
        <f t="shared" si="6"/>
        <v>32983</v>
      </c>
      <c r="F35" s="10">
        <f t="shared" si="1"/>
        <v>33043</v>
      </c>
      <c r="G35" s="9">
        <f t="shared" si="2"/>
        <v>4.2</v>
      </c>
      <c r="H35" s="9">
        <f t="shared" si="3"/>
        <v>1.9</v>
      </c>
      <c r="I35" s="9">
        <f t="shared" si="4"/>
        <v>6.1</v>
      </c>
      <c r="J35" s="130"/>
      <c r="K35" s="132"/>
      <c r="L35" s="158"/>
      <c r="M35" s="159"/>
      <c r="N35" s="16">
        <v>23</v>
      </c>
      <c r="O35" s="152">
        <f t="shared" si="5"/>
        <v>45.330000000000027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33043</v>
      </c>
      <c r="F36" s="10">
        <f t="shared" si="1"/>
        <v>33043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45.330000000000027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33043</v>
      </c>
      <c r="F37" s="10">
        <f t="shared" si="1"/>
        <v>33043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45.330000000000027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33043</v>
      </c>
      <c r="F38" s="10">
        <f t="shared" si="1"/>
        <v>33043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45.330000000000027</v>
      </c>
    </row>
    <row r="39" spans="1:15" x14ac:dyDescent="0.2">
      <c r="A39" s="7">
        <v>27</v>
      </c>
      <c r="B39" s="130">
        <v>9</v>
      </c>
      <c r="C39" s="130"/>
      <c r="D39" s="8">
        <f t="shared" si="0"/>
        <v>9</v>
      </c>
      <c r="E39" s="10">
        <f t="shared" si="6"/>
        <v>33043</v>
      </c>
      <c r="F39" s="10">
        <f t="shared" si="1"/>
        <v>33052</v>
      </c>
      <c r="G39" s="9">
        <f t="shared" si="2"/>
        <v>0.94499999999999995</v>
      </c>
      <c r="H39" s="9">
        <f t="shared" si="3"/>
        <v>0</v>
      </c>
      <c r="I39" s="9">
        <f t="shared" si="4"/>
        <v>0.94499999999999995</v>
      </c>
      <c r="J39" s="130"/>
      <c r="K39" s="132"/>
      <c r="L39" s="158"/>
      <c r="M39" s="159"/>
      <c r="N39" s="16">
        <v>27</v>
      </c>
      <c r="O39" s="152">
        <f t="shared" si="5"/>
        <v>44.385000000000026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33052</v>
      </c>
      <c r="F40" s="10">
        <f t="shared" si="1"/>
        <v>33052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44.385000000000026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33052</v>
      </c>
      <c r="F41" s="10">
        <f t="shared" si="1"/>
        <v>33052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44.385000000000026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33052</v>
      </c>
      <c r="F42" s="10">
        <f t="shared" si="1"/>
        <v>33052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44.385000000000026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33052</v>
      </c>
      <c r="F43" s="11">
        <f t="shared" si="1"/>
        <v>33052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44.385000000000026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146</v>
      </c>
      <c r="C46" s="12">
        <f>SUM(C13:C43)</f>
        <v>30</v>
      </c>
      <c r="D46" s="12">
        <f>SUM(D13:D43)</f>
        <v>176</v>
      </c>
      <c r="E46" s="12">
        <f>E7</f>
        <v>32876</v>
      </c>
      <c r="F46" s="12">
        <f>F43</f>
        <v>33052</v>
      </c>
      <c r="G46" s="13">
        <f t="shared" ref="G46:M46" si="7">SUM(G13:G43)</f>
        <v>15.330000000000002</v>
      </c>
      <c r="H46" s="13">
        <f t="shared" si="7"/>
        <v>2.8499999999999996</v>
      </c>
      <c r="I46" s="13">
        <f t="shared" si="7"/>
        <v>18.18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44.385000000000026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0.97199999999999998</v>
      </c>
      <c r="F50" s="113" t="s">
        <v>51</v>
      </c>
      <c r="G50" s="111">
        <f>G46*$E50</f>
        <v>14.900760000000002</v>
      </c>
      <c r="H50" s="116">
        <f>H46*$E50</f>
        <v>2.7701999999999996</v>
      </c>
      <c r="I50" s="117">
        <f>I46*$E50</f>
        <v>17.670960000000001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A4:B4"/>
    <mergeCell ref="A1:N1"/>
    <mergeCell ref="A3:B3"/>
    <mergeCell ref="F3:G3"/>
    <mergeCell ref="B11:D11"/>
    <mergeCell ref="E11:F11"/>
    <mergeCell ref="G11:I11"/>
    <mergeCell ref="L11:M11"/>
    <mergeCell ref="J11:K11"/>
    <mergeCell ref="L44:M44"/>
    <mergeCell ref="G48:I48"/>
    <mergeCell ref="J48:K48"/>
    <mergeCell ref="B44:D44"/>
    <mergeCell ref="E44:F44"/>
    <mergeCell ref="G44:I44"/>
    <mergeCell ref="J44:K44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6970-7687-45D7-A7D6-2887FE95B4D2}">
  <sheetPr>
    <pageSetUpPr fitToPage="1"/>
  </sheetPr>
  <dimension ref="A1:O53"/>
  <sheetViews>
    <sheetView topLeftCell="A3" zoomScaleNormal="100" workbookViewId="0">
      <pane ySplit="10" topLeftCell="A13" activePane="bottomLeft" state="frozen"/>
      <selection activeCell="A3" sqref="A3"/>
      <selection pane="bottomLeft" activeCell="S39" sqref="S39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34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'10'!F7</f>
        <v>33052</v>
      </c>
      <c r="F7" s="98">
        <f>F43</f>
        <v>33134</v>
      </c>
      <c r="G7" s="72"/>
      <c r="H7" s="146" t="str">
        <f>IF(I7&gt;0,"  ",IF(I7&lt;0,"Pozor",0))</f>
        <v xml:space="preserve">  </v>
      </c>
      <c r="I7" s="145">
        <f>SUM(L4-L7)</f>
        <v>53.924999999999976</v>
      </c>
      <c r="J7" s="148" t="s">
        <v>63</v>
      </c>
      <c r="K7" s="56">
        <f>'10'!L7</f>
        <v>44.385000000000026</v>
      </c>
      <c r="L7" s="56">
        <f>O46</f>
        <v>36.075000000000024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'10'!L8</f>
        <v>43.142220000000023</v>
      </c>
      <c r="L8" s="56">
        <f>L7*E50</f>
        <v>35.064900000000023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63.414634146341463</v>
      </c>
      <c r="C9" s="137">
        <f>IF(D10&gt;0,C10/D10*100,0)</f>
        <v>36.585365853658537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52</v>
      </c>
      <c r="C10" s="90">
        <f>C46</f>
        <v>30</v>
      </c>
      <c r="D10" s="91">
        <f>D46</f>
        <v>82</v>
      </c>
      <c r="E10" s="61"/>
      <c r="F10" s="61"/>
      <c r="G10" s="88" t="s">
        <v>62</v>
      </c>
      <c r="H10" s="89"/>
      <c r="I10" s="92">
        <f>IF(F7&gt;E7,(I46/D46)*100,0)</f>
        <v>10.134146341463415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/>
      <c r="C13" s="129"/>
      <c r="D13" s="8">
        <f>SUM(B13:C13)</f>
        <v>0</v>
      </c>
      <c r="E13" s="8">
        <f>E7</f>
        <v>33052</v>
      </c>
      <c r="F13" s="8">
        <f>SUM(E13,D13)</f>
        <v>33052</v>
      </c>
      <c r="G13" s="9">
        <f>SUM((B13*B$6)/100)</f>
        <v>0</v>
      </c>
      <c r="H13" s="9">
        <f>SUM((C13*B$7)/100)</f>
        <v>0</v>
      </c>
      <c r="I13" s="9">
        <f>SUM(G13:H13)</f>
        <v>0</v>
      </c>
      <c r="J13" s="129"/>
      <c r="K13" s="155"/>
      <c r="L13" s="156"/>
      <c r="M13" s="157"/>
      <c r="N13" s="16">
        <v>1</v>
      </c>
      <c r="O13" s="151">
        <f>(K7-I13)+J13+L13</f>
        <v>44.385000000000026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33052</v>
      </c>
      <c r="F14" s="10">
        <f t="shared" ref="F14:F43" si="1">SUM(E14,D14)</f>
        <v>33052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44.385000000000026</v>
      </c>
    </row>
    <row r="15" spans="1:15" x14ac:dyDescent="0.2">
      <c r="A15" s="7">
        <v>3</v>
      </c>
      <c r="B15" s="130">
        <v>24</v>
      </c>
      <c r="C15" s="130"/>
      <c r="D15" s="8">
        <f t="shared" si="0"/>
        <v>24</v>
      </c>
      <c r="E15" s="10">
        <f t="shared" ref="E15:E43" si="6">F14</f>
        <v>33052</v>
      </c>
      <c r="F15" s="10">
        <f t="shared" si="1"/>
        <v>33076</v>
      </c>
      <c r="G15" s="9">
        <f t="shared" si="2"/>
        <v>2.52</v>
      </c>
      <c r="H15" s="9">
        <f t="shared" si="3"/>
        <v>0</v>
      </c>
      <c r="I15" s="9">
        <f t="shared" si="4"/>
        <v>2.52</v>
      </c>
      <c r="J15" s="130"/>
      <c r="K15" s="132"/>
      <c r="L15" s="158"/>
      <c r="M15" s="159"/>
      <c r="N15" s="16">
        <v>3</v>
      </c>
      <c r="O15" s="152">
        <f t="shared" si="5"/>
        <v>41.865000000000023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33076</v>
      </c>
      <c r="F16" s="10">
        <f t="shared" si="1"/>
        <v>33076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41.865000000000023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33076</v>
      </c>
      <c r="F17" s="10">
        <f t="shared" si="1"/>
        <v>33076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41.865000000000023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33076</v>
      </c>
      <c r="F18" s="10">
        <f t="shared" si="1"/>
        <v>33076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41.865000000000023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33076</v>
      </c>
      <c r="F19" s="10">
        <f t="shared" si="1"/>
        <v>33076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41.865000000000023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33076</v>
      </c>
      <c r="F20" s="10">
        <f t="shared" si="1"/>
        <v>33076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41.865000000000023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33076</v>
      </c>
      <c r="F21" s="10">
        <f t="shared" si="1"/>
        <v>33076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41.865000000000023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33076</v>
      </c>
      <c r="F22" s="10">
        <f t="shared" si="1"/>
        <v>33076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41.865000000000023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33076</v>
      </c>
      <c r="F23" s="10">
        <f t="shared" si="1"/>
        <v>33076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41.865000000000023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33076</v>
      </c>
      <c r="F24" s="10">
        <f t="shared" si="1"/>
        <v>33076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41.865000000000023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33076</v>
      </c>
      <c r="F25" s="10">
        <f t="shared" si="1"/>
        <v>33076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41.865000000000023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33076</v>
      </c>
      <c r="F26" s="10">
        <f t="shared" si="1"/>
        <v>33076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41.865000000000023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33076</v>
      </c>
      <c r="F27" s="10">
        <f t="shared" si="1"/>
        <v>33076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41.865000000000023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33076</v>
      </c>
      <c r="F28" s="10">
        <f t="shared" si="1"/>
        <v>33076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41.865000000000023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33076</v>
      </c>
      <c r="F29" s="10">
        <f t="shared" si="1"/>
        <v>33076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41.865000000000023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33076</v>
      </c>
      <c r="F30" s="10">
        <f t="shared" si="1"/>
        <v>33076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41.865000000000023</v>
      </c>
    </row>
    <row r="31" spans="1:15" x14ac:dyDescent="0.2">
      <c r="A31" s="7">
        <v>19</v>
      </c>
      <c r="B31" s="130">
        <v>28</v>
      </c>
      <c r="C31" s="130">
        <v>30</v>
      </c>
      <c r="D31" s="8">
        <f t="shared" si="0"/>
        <v>58</v>
      </c>
      <c r="E31" s="10">
        <f t="shared" si="6"/>
        <v>33076</v>
      </c>
      <c r="F31" s="10">
        <f t="shared" si="1"/>
        <v>33134</v>
      </c>
      <c r="G31" s="9">
        <f t="shared" si="2"/>
        <v>2.94</v>
      </c>
      <c r="H31" s="9">
        <f t="shared" si="3"/>
        <v>2.85</v>
      </c>
      <c r="I31" s="9">
        <f t="shared" si="4"/>
        <v>5.79</v>
      </c>
      <c r="J31" s="130"/>
      <c r="K31" s="132"/>
      <c r="L31" s="158"/>
      <c r="M31" s="159"/>
      <c r="N31" s="16">
        <v>19</v>
      </c>
      <c r="O31" s="152">
        <f t="shared" si="5"/>
        <v>36.075000000000024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33134</v>
      </c>
      <c r="F32" s="10">
        <f t="shared" si="1"/>
        <v>33134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36.075000000000024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33134</v>
      </c>
      <c r="F33" s="10">
        <f t="shared" si="1"/>
        <v>33134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36.075000000000024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33134</v>
      </c>
      <c r="F34" s="10">
        <f t="shared" si="1"/>
        <v>33134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36.075000000000024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33134</v>
      </c>
      <c r="F35" s="10">
        <f t="shared" si="1"/>
        <v>33134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36.075000000000024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33134</v>
      </c>
      <c r="F36" s="10">
        <f t="shared" si="1"/>
        <v>33134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36.075000000000024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33134</v>
      </c>
      <c r="F37" s="10">
        <f t="shared" si="1"/>
        <v>33134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36.075000000000024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33134</v>
      </c>
      <c r="F38" s="10">
        <f t="shared" si="1"/>
        <v>33134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36.075000000000024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33134</v>
      </c>
      <c r="F39" s="10">
        <f t="shared" si="1"/>
        <v>33134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36.075000000000024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33134</v>
      </c>
      <c r="F40" s="10">
        <f t="shared" si="1"/>
        <v>33134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36.075000000000024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33134</v>
      </c>
      <c r="F41" s="10">
        <f t="shared" si="1"/>
        <v>33134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36.075000000000024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33134</v>
      </c>
      <c r="F42" s="10">
        <f t="shared" si="1"/>
        <v>33134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36.075000000000024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33134</v>
      </c>
      <c r="F43" s="11">
        <f t="shared" si="1"/>
        <v>33134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36.075000000000024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52</v>
      </c>
      <c r="C46" s="12">
        <f>SUM(C13:C43)</f>
        <v>30</v>
      </c>
      <c r="D46" s="12">
        <f>SUM(D13:D43)</f>
        <v>82</v>
      </c>
      <c r="E46" s="12">
        <f>E7</f>
        <v>33052</v>
      </c>
      <c r="F46" s="12">
        <f>F43</f>
        <v>33134</v>
      </c>
      <c r="G46" s="13">
        <f t="shared" ref="G46:M46" si="7">SUM(G13:G43)</f>
        <v>5.46</v>
      </c>
      <c r="H46" s="13">
        <f t="shared" si="7"/>
        <v>2.85</v>
      </c>
      <c r="I46" s="13">
        <f t="shared" si="7"/>
        <v>8.31</v>
      </c>
      <c r="J46" s="13">
        <f t="shared" si="7"/>
        <v>0</v>
      </c>
      <c r="K46" s="99">
        <f t="shared" si="7"/>
        <v>0</v>
      </c>
      <c r="L46" s="13">
        <f t="shared" si="7"/>
        <v>0</v>
      </c>
      <c r="M46" s="13">
        <f t="shared" si="7"/>
        <v>0</v>
      </c>
      <c r="O46" s="194">
        <f>O43</f>
        <v>36.075000000000024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0.97199999999999998</v>
      </c>
      <c r="F50" s="113" t="s">
        <v>51</v>
      </c>
      <c r="G50" s="111">
        <f>G46*$E50</f>
        <v>5.3071199999999994</v>
      </c>
      <c r="H50" s="116">
        <f>H46*$E50</f>
        <v>2.7702</v>
      </c>
      <c r="I50" s="117">
        <f>I46*$E50</f>
        <v>8.0773200000000003</v>
      </c>
      <c r="J50" s="118">
        <f>J46+L46</f>
        <v>0</v>
      </c>
      <c r="K50" s="118">
        <f>K46+M46</f>
        <v>0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A4:B4"/>
    <mergeCell ref="A1:N1"/>
    <mergeCell ref="A3:B3"/>
    <mergeCell ref="F3:G3"/>
    <mergeCell ref="B11:D11"/>
    <mergeCell ref="E11:F11"/>
    <mergeCell ref="G11:I11"/>
    <mergeCell ref="L11:M11"/>
    <mergeCell ref="J11:K11"/>
    <mergeCell ref="L44:M44"/>
    <mergeCell ref="G48:I48"/>
    <mergeCell ref="J48:K48"/>
    <mergeCell ref="B44:D44"/>
    <mergeCell ref="E44:F44"/>
    <mergeCell ref="G44:I44"/>
    <mergeCell ref="J44:K44"/>
  </mergeCells>
  <phoneticPr fontId="0" type="noConversion"/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572B-9056-4430-9CD5-FFB7026BADC6}">
  <sheetPr>
    <pageSetUpPr fitToPage="1"/>
  </sheetPr>
  <dimension ref="A1:O53"/>
  <sheetViews>
    <sheetView tabSelected="1" topLeftCell="A3" zoomScaleNormal="100" workbookViewId="0">
      <pane ySplit="10" topLeftCell="A13" activePane="bottomLeft" state="frozen"/>
      <selection activeCell="A3" sqref="A3"/>
      <selection pane="bottomLeft" activeCell="S29" sqref="S29"/>
    </sheetView>
  </sheetViews>
  <sheetFormatPr defaultRowHeight="12.75" x14ac:dyDescent="0.2"/>
  <cols>
    <col min="1" max="1" width="6.42578125" customWidth="1"/>
    <col min="2" max="4" width="6.7109375" customWidth="1"/>
    <col min="5" max="6" width="8.7109375" customWidth="1"/>
    <col min="7" max="9" width="6.7109375" customWidth="1"/>
    <col min="10" max="13" width="8.7109375" customWidth="1"/>
    <col min="14" max="14" width="9.7109375" customWidth="1"/>
  </cols>
  <sheetData>
    <row r="1" spans="1:15" ht="18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5" ht="18" x14ac:dyDescent="0.25">
      <c r="A2" s="1"/>
      <c r="B2" s="1"/>
      <c r="C2" s="1"/>
      <c r="D2" s="1"/>
      <c r="E2" s="2"/>
      <c r="F2" s="2"/>
      <c r="G2" s="1"/>
      <c r="H2" s="1"/>
      <c r="I2" s="1"/>
      <c r="J2" s="1"/>
      <c r="K2" s="17"/>
      <c r="L2" s="1"/>
      <c r="M2" s="1"/>
      <c r="N2" s="1"/>
    </row>
    <row r="3" spans="1:15" x14ac:dyDescent="0.2">
      <c r="A3" s="241" t="str">
        <f>'ROK Prev MV'!C4</f>
        <v>BB215GN</v>
      </c>
      <c r="B3" s="241"/>
      <c r="C3" s="1"/>
      <c r="D3" s="1"/>
      <c r="E3" s="1" t="s">
        <v>1</v>
      </c>
      <c r="F3" s="242" t="s">
        <v>35</v>
      </c>
      <c r="G3" s="242"/>
      <c r="H3" s="3">
        <f>'ROK Prev MV'!M2</f>
        <v>2025</v>
      </c>
      <c r="I3" s="1"/>
      <c r="J3" s="1"/>
      <c r="K3" s="1"/>
      <c r="L3" s="14"/>
      <c r="M3" s="14"/>
      <c r="N3" s="14"/>
    </row>
    <row r="4" spans="1:15" x14ac:dyDescent="0.2">
      <c r="A4" s="250" t="str">
        <f>'ROK Prev MV'!C5</f>
        <v>dodávka</v>
      </c>
      <c r="B4" s="250"/>
      <c r="C4" s="1"/>
      <c r="D4" s="1"/>
      <c r="E4" s="1"/>
      <c r="F4" s="1"/>
      <c r="G4" s="1"/>
      <c r="H4" s="1"/>
      <c r="I4" s="1"/>
      <c r="J4" s="1"/>
      <c r="K4" s="140" t="s">
        <v>76</v>
      </c>
      <c r="L4" s="141">
        <f>'ROK Prev MV'!L5:M5</f>
        <v>90</v>
      </c>
      <c r="M4" s="1"/>
      <c r="N4" s="1"/>
    </row>
    <row r="5" spans="1:15" x14ac:dyDescent="0.2">
      <c r="A5" s="66" t="s">
        <v>15</v>
      </c>
      <c r="B5" s="67"/>
      <c r="C5" s="1"/>
      <c r="D5" s="16" t="s">
        <v>19</v>
      </c>
      <c r="E5" s="15" t="s">
        <v>18</v>
      </c>
      <c r="F5" s="1"/>
      <c r="H5" s="14"/>
      <c r="K5" s="15" t="s">
        <v>17</v>
      </c>
      <c r="L5" s="14"/>
      <c r="M5" s="14"/>
      <c r="N5" s="1"/>
    </row>
    <row r="6" spans="1:15" x14ac:dyDescent="0.2">
      <c r="A6" s="59" t="s">
        <v>20</v>
      </c>
      <c r="B6" s="60">
        <f>'ROK Prev MV'!I5</f>
        <v>10.5</v>
      </c>
      <c r="C6" s="1"/>
      <c r="E6" s="54" t="s">
        <v>2</v>
      </c>
      <c r="F6" s="54" t="s">
        <v>3</v>
      </c>
      <c r="G6" s="71"/>
      <c r="H6" s="62"/>
      <c r="I6" s="147" t="s">
        <v>77</v>
      </c>
      <c r="J6" s="62"/>
      <c r="K6" s="55" t="s">
        <v>2</v>
      </c>
      <c r="L6" s="54" t="s">
        <v>3</v>
      </c>
      <c r="M6" s="14"/>
      <c r="N6" s="1"/>
    </row>
    <row r="7" spans="1:15" x14ac:dyDescent="0.2">
      <c r="A7" s="64" t="s">
        <v>21</v>
      </c>
      <c r="B7" s="65">
        <f>'ROK Prev MV'!I4</f>
        <v>9.5</v>
      </c>
      <c r="C7" s="1"/>
      <c r="E7" s="97">
        <f>'11'!F7</f>
        <v>33134</v>
      </c>
      <c r="F7" s="98">
        <f>F43</f>
        <v>33144</v>
      </c>
      <c r="G7" s="72"/>
      <c r="H7" s="146" t="str">
        <f>IF(I7&gt;0,"  ",IF(I7&lt;0,"Pozor",0))</f>
        <v xml:space="preserve">  </v>
      </c>
      <c r="I7" s="145">
        <f>SUM(L4-L7)</f>
        <v>1.9749999999999659</v>
      </c>
      <c r="J7" s="148" t="s">
        <v>63</v>
      </c>
      <c r="K7" s="56">
        <f>'11'!L7</f>
        <v>36.075000000000024</v>
      </c>
      <c r="L7" s="56">
        <f>O46</f>
        <v>88.025000000000034</v>
      </c>
      <c r="M7" s="17" t="s">
        <v>63</v>
      </c>
      <c r="N7" s="1"/>
    </row>
    <row r="8" spans="1:15" x14ac:dyDescent="0.2">
      <c r="A8" s="93"/>
      <c r="B8" s="94"/>
      <c r="C8" s="61"/>
      <c r="E8" s="95"/>
      <c r="F8" s="96"/>
      <c r="G8" s="72"/>
      <c r="H8" s="63"/>
      <c r="I8" s="62"/>
      <c r="J8" s="62"/>
      <c r="K8" s="56">
        <f>'11'!L8</f>
        <v>35.064900000000023</v>
      </c>
      <c r="L8" s="56">
        <f>L7*E50</f>
        <v>112.67200000000004</v>
      </c>
      <c r="M8" s="17" t="s">
        <v>51</v>
      </c>
      <c r="N8" s="1"/>
    </row>
    <row r="9" spans="1:15" ht="13.5" thickBot="1" x14ac:dyDescent="0.25">
      <c r="A9" s="1"/>
      <c r="B9" s="137">
        <f>IF(D10&gt;0,B10/D10*100,0)</f>
        <v>100</v>
      </c>
      <c r="C9" s="137">
        <f>IF(D10&gt;0,C10/D10*100,0)</f>
        <v>0</v>
      </c>
      <c r="D9" s="136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3.5" thickBot="1" x14ac:dyDescent="0.25">
      <c r="A10" s="88" t="s">
        <v>22</v>
      </c>
      <c r="B10" s="90">
        <f>B46</f>
        <v>10</v>
      </c>
      <c r="C10" s="90">
        <f>C46</f>
        <v>0</v>
      </c>
      <c r="D10" s="91">
        <f>D46</f>
        <v>10</v>
      </c>
      <c r="E10" s="61"/>
      <c r="F10" s="61"/>
      <c r="G10" s="88" t="s">
        <v>62</v>
      </c>
      <c r="H10" s="89"/>
      <c r="I10" s="92">
        <f>IF(F7&gt;E7,(I46/D46)*100,0)</f>
        <v>10.500000000000002</v>
      </c>
      <c r="J10" s="1"/>
      <c r="K10" s="1"/>
      <c r="L10" s="1"/>
      <c r="M10" s="1"/>
      <c r="N10" s="1"/>
    </row>
    <row r="11" spans="1:15" x14ac:dyDescent="0.2">
      <c r="A11" s="87"/>
      <c r="B11" s="245" t="s">
        <v>4</v>
      </c>
      <c r="C11" s="246"/>
      <c r="D11" s="247"/>
      <c r="E11" s="248" t="s">
        <v>5</v>
      </c>
      <c r="F11" s="249"/>
      <c r="G11" s="251" t="s">
        <v>6</v>
      </c>
      <c r="H11" s="252"/>
      <c r="I11" s="253"/>
      <c r="J11" s="254" t="s">
        <v>23</v>
      </c>
      <c r="K11" s="249"/>
      <c r="L11" s="243" t="s">
        <v>24</v>
      </c>
      <c r="M11" s="244"/>
      <c r="O11" s="149" t="s">
        <v>7</v>
      </c>
    </row>
    <row r="12" spans="1:15" ht="13.5" thickBot="1" x14ac:dyDescent="0.25">
      <c r="A12" s="18" t="s">
        <v>16</v>
      </c>
      <c r="B12" s="6" t="s">
        <v>8</v>
      </c>
      <c r="C12" s="4" t="s">
        <v>9</v>
      </c>
      <c r="D12" s="20" t="s">
        <v>10</v>
      </c>
      <c r="E12" s="6" t="s">
        <v>11</v>
      </c>
      <c r="F12" s="5" t="s">
        <v>12</v>
      </c>
      <c r="G12" s="6" t="s">
        <v>8</v>
      </c>
      <c r="H12" s="4" t="s">
        <v>9</v>
      </c>
      <c r="I12" s="20" t="s">
        <v>10</v>
      </c>
      <c r="J12" s="19" t="s">
        <v>13</v>
      </c>
      <c r="K12" s="154" t="s">
        <v>51</v>
      </c>
      <c r="L12" s="6" t="s">
        <v>13</v>
      </c>
      <c r="M12" s="49" t="s">
        <v>51</v>
      </c>
      <c r="O12" s="150" t="s">
        <v>13</v>
      </c>
    </row>
    <row r="13" spans="1:15" x14ac:dyDescent="0.2">
      <c r="A13" s="7">
        <v>1</v>
      </c>
      <c r="B13" s="129">
        <v>10</v>
      </c>
      <c r="C13" s="129"/>
      <c r="D13" s="8">
        <f>SUM(B13:C13)</f>
        <v>10</v>
      </c>
      <c r="E13" s="8">
        <f>E7</f>
        <v>33134</v>
      </c>
      <c r="F13" s="8">
        <f>SUM(E13,D13)</f>
        <v>33144</v>
      </c>
      <c r="G13" s="9">
        <f>SUM((B13*B$6)/100)</f>
        <v>1.05</v>
      </c>
      <c r="H13" s="9">
        <f>SUM((C13*B$7)/100)</f>
        <v>0</v>
      </c>
      <c r="I13" s="9">
        <f>SUM(G13:H13)</f>
        <v>1.05</v>
      </c>
      <c r="J13" s="129">
        <v>53</v>
      </c>
      <c r="K13" s="155">
        <v>78.92</v>
      </c>
      <c r="L13" s="156"/>
      <c r="M13" s="157"/>
      <c r="N13" s="16">
        <v>1</v>
      </c>
      <c r="O13" s="151">
        <f>(K7-I13)+J13+L13</f>
        <v>88.025000000000034</v>
      </c>
    </row>
    <row r="14" spans="1:15" x14ac:dyDescent="0.2">
      <c r="A14" s="10">
        <v>2</v>
      </c>
      <c r="B14" s="130"/>
      <c r="C14" s="130"/>
      <c r="D14" s="8">
        <f t="shared" ref="D14:D43" si="0">SUM(B14:C14)</f>
        <v>0</v>
      </c>
      <c r="E14" s="10">
        <f>F13</f>
        <v>33144</v>
      </c>
      <c r="F14" s="10">
        <f t="shared" ref="F14:F43" si="1">SUM(E14,D14)</f>
        <v>33144</v>
      </c>
      <c r="G14" s="9">
        <f t="shared" ref="G14:G43" si="2">SUM((B14*B$6)/100)</f>
        <v>0</v>
      </c>
      <c r="H14" s="9">
        <f t="shared" ref="H14:H43" si="3">SUM((C14*B$7)/100)</f>
        <v>0</v>
      </c>
      <c r="I14" s="9">
        <f t="shared" ref="I14:I43" si="4">SUM(G14:H14)</f>
        <v>0</v>
      </c>
      <c r="J14" s="130"/>
      <c r="K14" s="132"/>
      <c r="L14" s="158"/>
      <c r="M14" s="159"/>
      <c r="N14" s="16">
        <v>2</v>
      </c>
      <c r="O14" s="152">
        <f t="shared" ref="O14:O43" si="5">(O13-I14)+J14+L14</f>
        <v>88.025000000000034</v>
      </c>
    </row>
    <row r="15" spans="1:15" x14ac:dyDescent="0.2">
      <c r="A15" s="7">
        <v>3</v>
      </c>
      <c r="B15" s="130"/>
      <c r="C15" s="130"/>
      <c r="D15" s="8">
        <f t="shared" si="0"/>
        <v>0</v>
      </c>
      <c r="E15" s="10">
        <f t="shared" ref="E15:E43" si="6">F14</f>
        <v>33144</v>
      </c>
      <c r="F15" s="10">
        <f t="shared" si="1"/>
        <v>33144</v>
      </c>
      <c r="G15" s="9">
        <f t="shared" si="2"/>
        <v>0</v>
      </c>
      <c r="H15" s="9">
        <f t="shared" si="3"/>
        <v>0</v>
      </c>
      <c r="I15" s="9">
        <f t="shared" si="4"/>
        <v>0</v>
      </c>
      <c r="J15" s="130"/>
      <c r="K15" s="132"/>
      <c r="L15" s="158"/>
      <c r="M15" s="159"/>
      <c r="N15" s="16">
        <v>3</v>
      </c>
      <c r="O15" s="152">
        <f t="shared" si="5"/>
        <v>88.025000000000034</v>
      </c>
    </row>
    <row r="16" spans="1:15" x14ac:dyDescent="0.2">
      <c r="A16" s="10">
        <v>4</v>
      </c>
      <c r="B16" s="130"/>
      <c r="C16" s="130"/>
      <c r="D16" s="8">
        <f t="shared" si="0"/>
        <v>0</v>
      </c>
      <c r="E16" s="10">
        <f t="shared" si="6"/>
        <v>33144</v>
      </c>
      <c r="F16" s="10">
        <f t="shared" si="1"/>
        <v>33144</v>
      </c>
      <c r="G16" s="9">
        <f t="shared" si="2"/>
        <v>0</v>
      </c>
      <c r="H16" s="9">
        <f t="shared" si="3"/>
        <v>0</v>
      </c>
      <c r="I16" s="9">
        <f t="shared" si="4"/>
        <v>0</v>
      </c>
      <c r="J16" s="130"/>
      <c r="K16" s="132"/>
      <c r="L16" s="158"/>
      <c r="M16" s="159"/>
      <c r="N16" s="16">
        <v>4</v>
      </c>
      <c r="O16" s="152">
        <f t="shared" si="5"/>
        <v>88.025000000000034</v>
      </c>
    </row>
    <row r="17" spans="1:15" x14ac:dyDescent="0.2">
      <c r="A17" s="7">
        <v>5</v>
      </c>
      <c r="B17" s="130"/>
      <c r="C17" s="130"/>
      <c r="D17" s="8">
        <f t="shared" si="0"/>
        <v>0</v>
      </c>
      <c r="E17" s="10">
        <f t="shared" si="6"/>
        <v>33144</v>
      </c>
      <c r="F17" s="10">
        <f t="shared" si="1"/>
        <v>33144</v>
      </c>
      <c r="G17" s="9">
        <f t="shared" si="2"/>
        <v>0</v>
      </c>
      <c r="H17" s="9">
        <f t="shared" si="3"/>
        <v>0</v>
      </c>
      <c r="I17" s="9">
        <f t="shared" si="4"/>
        <v>0</v>
      </c>
      <c r="J17" s="130"/>
      <c r="K17" s="132"/>
      <c r="L17" s="158"/>
      <c r="M17" s="159"/>
      <c r="N17" s="16">
        <v>5</v>
      </c>
      <c r="O17" s="152">
        <f t="shared" si="5"/>
        <v>88.025000000000034</v>
      </c>
    </row>
    <row r="18" spans="1:15" x14ac:dyDescent="0.2">
      <c r="A18" s="10">
        <v>6</v>
      </c>
      <c r="B18" s="130"/>
      <c r="C18" s="130"/>
      <c r="D18" s="8">
        <f t="shared" si="0"/>
        <v>0</v>
      </c>
      <c r="E18" s="10">
        <f t="shared" si="6"/>
        <v>33144</v>
      </c>
      <c r="F18" s="10">
        <f t="shared" si="1"/>
        <v>33144</v>
      </c>
      <c r="G18" s="9">
        <f t="shared" si="2"/>
        <v>0</v>
      </c>
      <c r="H18" s="9">
        <f t="shared" si="3"/>
        <v>0</v>
      </c>
      <c r="I18" s="9">
        <f t="shared" si="4"/>
        <v>0</v>
      </c>
      <c r="J18" s="130"/>
      <c r="K18" s="132"/>
      <c r="L18" s="160"/>
      <c r="M18" s="159"/>
      <c r="N18" s="16">
        <v>6</v>
      </c>
      <c r="O18" s="152">
        <f t="shared" si="5"/>
        <v>88.025000000000034</v>
      </c>
    </row>
    <row r="19" spans="1:15" x14ac:dyDescent="0.2">
      <c r="A19" s="7">
        <v>7</v>
      </c>
      <c r="B19" s="130"/>
      <c r="C19" s="130"/>
      <c r="D19" s="8">
        <f t="shared" si="0"/>
        <v>0</v>
      </c>
      <c r="E19" s="10">
        <f t="shared" si="6"/>
        <v>33144</v>
      </c>
      <c r="F19" s="10">
        <f t="shared" si="1"/>
        <v>33144</v>
      </c>
      <c r="G19" s="9">
        <f t="shared" si="2"/>
        <v>0</v>
      </c>
      <c r="H19" s="9">
        <f t="shared" si="3"/>
        <v>0</v>
      </c>
      <c r="I19" s="9">
        <f t="shared" si="4"/>
        <v>0</v>
      </c>
      <c r="J19" s="130"/>
      <c r="K19" s="132"/>
      <c r="L19" s="158"/>
      <c r="M19" s="159"/>
      <c r="N19" s="16">
        <v>7</v>
      </c>
      <c r="O19" s="152">
        <f t="shared" si="5"/>
        <v>88.025000000000034</v>
      </c>
    </row>
    <row r="20" spans="1:15" x14ac:dyDescent="0.2">
      <c r="A20" s="10">
        <v>8</v>
      </c>
      <c r="B20" s="130"/>
      <c r="C20" s="130"/>
      <c r="D20" s="8">
        <f t="shared" si="0"/>
        <v>0</v>
      </c>
      <c r="E20" s="10">
        <f t="shared" si="6"/>
        <v>33144</v>
      </c>
      <c r="F20" s="10">
        <f t="shared" si="1"/>
        <v>33144</v>
      </c>
      <c r="G20" s="9">
        <f t="shared" si="2"/>
        <v>0</v>
      </c>
      <c r="H20" s="9">
        <f t="shared" si="3"/>
        <v>0</v>
      </c>
      <c r="I20" s="9">
        <f t="shared" si="4"/>
        <v>0</v>
      </c>
      <c r="J20" s="130"/>
      <c r="K20" s="132"/>
      <c r="L20" s="158"/>
      <c r="M20" s="159"/>
      <c r="N20" s="16">
        <v>8</v>
      </c>
      <c r="O20" s="152">
        <f t="shared" si="5"/>
        <v>88.025000000000034</v>
      </c>
    </row>
    <row r="21" spans="1:15" x14ac:dyDescent="0.2">
      <c r="A21" s="7">
        <v>9</v>
      </c>
      <c r="B21" s="130"/>
      <c r="C21" s="130"/>
      <c r="D21" s="8">
        <f t="shared" si="0"/>
        <v>0</v>
      </c>
      <c r="E21" s="10">
        <f t="shared" si="6"/>
        <v>33144</v>
      </c>
      <c r="F21" s="10">
        <f t="shared" si="1"/>
        <v>33144</v>
      </c>
      <c r="G21" s="9">
        <f t="shared" si="2"/>
        <v>0</v>
      </c>
      <c r="H21" s="9">
        <f t="shared" si="3"/>
        <v>0</v>
      </c>
      <c r="I21" s="9">
        <f t="shared" si="4"/>
        <v>0</v>
      </c>
      <c r="J21" s="130"/>
      <c r="K21" s="132"/>
      <c r="L21" s="158"/>
      <c r="M21" s="159"/>
      <c r="N21" s="16">
        <v>9</v>
      </c>
      <c r="O21" s="152">
        <f t="shared" si="5"/>
        <v>88.025000000000034</v>
      </c>
    </row>
    <row r="22" spans="1:15" x14ac:dyDescent="0.2">
      <c r="A22" s="10">
        <v>10</v>
      </c>
      <c r="B22" s="130"/>
      <c r="C22" s="130"/>
      <c r="D22" s="8">
        <f t="shared" si="0"/>
        <v>0</v>
      </c>
      <c r="E22" s="10">
        <f t="shared" si="6"/>
        <v>33144</v>
      </c>
      <c r="F22" s="10">
        <f t="shared" si="1"/>
        <v>33144</v>
      </c>
      <c r="G22" s="9">
        <f t="shared" si="2"/>
        <v>0</v>
      </c>
      <c r="H22" s="9">
        <f t="shared" si="3"/>
        <v>0</v>
      </c>
      <c r="I22" s="9">
        <f t="shared" si="4"/>
        <v>0</v>
      </c>
      <c r="J22" s="130"/>
      <c r="K22" s="132"/>
      <c r="L22" s="158"/>
      <c r="M22" s="159"/>
      <c r="N22" s="16">
        <v>10</v>
      </c>
      <c r="O22" s="152">
        <f t="shared" si="5"/>
        <v>88.025000000000034</v>
      </c>
    </row>
    <row r="23" spans="1:15" x14ac:dyDescent="0.2">
      <c r="A23" s="7">
        <v>11</v>
      </c>
      <c r="B23" s="130"/>
      <c r="C23" s="130"/>
      <c r="D23" s="8">
        <f t="shared" si="0"/>
        <v>0</v>
      </c>
      <c r="E23" s="10">
        <f t="shared" si="6"/>
        <v>33144</v>
      </c>
      <c r="F23" s="10">
        <f t="shared" si="1"/>
        <v>33144</v>
      </c>
      <c r="G23" s="9">
        <f t="shared" si="2"/>
        <v>0</v>
      </c>
      <c r="H23" s="9">
        <f t="shared" si="3"/>
        <v>0</v>
      </c>
      <c r="I23" s="9">
        <f t="shared" si="4"/>
        <v>0</v>
      </c>
      <c r="J23" s="130"/>
      <c r="K23" s="132"/>
      <c r="L23" s="158"/>
      <c r="M23" s="159"/>
      <c r="N23" s="16">
        <v>11</v>
      </c>
      <c r="O23" s="152">
        <f t="shared" si="5"/>
        <v>88.025000000000034</v>
      </c>
    </row>
    <row r="24" spans="1:15" x14ac:dyDescent="0.2">
      <c r="A24" s="10">
        <v>12</v>
      </c>
      <c r="B24" s="130"/>
      <c r="C24" s="130"/>
      <c r="D24" s="8">
        <f t="shared" si="0"/>
        <v>0</v>
      </c>
      <c r="E24" s="10">
        <f t="shared" si="6"/>
        <v>33144</v>
      </c>
      <c r="F24" s="10">
        <f t="shared" si="1"/>
        <v>33144</v>
      </c>
      <c r="G24" s="9">
        <f t="shared" si="2"/>
        <v>0</v>
      </c>
      <c r="H24" s="9">
        <f t="shared" si="3"/>
        <v>0</v>
      </c>
      <c r="I24" s="9">
        <f t="shared" si="4"/>
        <v>0</v>
      </c>
      <c r="J24" s="130"/>
      <c r="K24" s="132"/>
      <c r="L24" s="158"/>
      <c r="M24" s="159"/>
      <c r="N24" s="16">
        <v>12</v>
      </c>
      <c r="O24" s="152">
        <f t="shared" si="5"/>
        <v>88.025000000000034</v>
      </c>
    </row>
    <row r="25" spans="1:15" x14ac:dyDescent="0.2">
      <c r="A25" s="7">
        <v>13</v>
      </c>
      <c r="B25" s="130"/>
      <c r="C25" s="130"/>
      <c r="D25" s="8">
        <f t="shared" si="0"/>
        <v>0</v>
      </c>
      <c r="E25" s="10">
        <f t="shared" si="6"/>
        <v>33144</v>
      </c>
      <c r="F25" s="10">
        <f t="shared" si="1"/>
        <v>33144</v>
      </c>
      <c r="G25" s="9">
        <f t="shared" si="2"/>
        <v>0</v>
      </c>
      <c r="H25" s="9">
        <f t="shared" si="3"/>
        <v>0</v>
      </c>
      <c r="I25" s="9">
        <f t="shared" si="4"/>
        <v>0</v>
      </c>
      <c r="J25" s="130"/>
      <c r="K25" s="132"/>
      <c r="L25" s="158"/>
      <c r="M25" s="159"/>
      <c r="N25" s="16">
        <v>13</v>
      </c>
      <c r="O25" s="152">
        <f t="shared" si="5"/>
        <v>88.025000000000034</v>
      </c>
    </row>
    <row r="26" spans="1:15" x14ac:dyDescent="0.2">
      <c r="A26" s="10">
        <v>14</v>
      </c>
      <c r="B26" s="130"/>
      <c r="C26" s="130"/>
      <c r="D26" s="8">
        <f t="shared" si="0"/>
        <v>0</v>
      </c>
      <c r="E26" s="10">
        <f t="shared" si="6"/>
        <v>33144</v>
      </c>
      <c r="F26" s="10">
        <f t="shared" si="1"/>
        <v>33144</v>
      </c>
      <c r="G26" s="9">
        <f t="shared" si="2"/>
        <v>0</v>
      </c>
      <c r="H26" s="9">
        <f t="shared" si="3"/>
        <v>0</v>
      </c>
      <c r="I26" s="9">
        <f t="shared" si="4"/>
        <v>0</v>
      </c>
      <c r="J26" s="130"/>
      <c r="K26" s="132"/>
      <c r="L26" s="158"/>
      <c r="M26" s="159"/>
      <c r="N26" s="16">
        <v>14</v>
      </c>
      <c r="O26" s="152">
        <f t="shared" si="5"/>
        <v>88.025000000000034</v>
      </c>
    </row>
    <row r="27" spans="1:15" x14ac:dyDescent="0.2">
      <c r="A27" s="7">
        <v>15</v>
      </c>
      <c r="B27" s="130"/>
      <c r="C27" s="130"/>
      <c r="D27" s="8">
        <f t="shared" si="0"/>
        <v>0</v>
      </c>
      <c r="E27" s="10">
        <f t="shared" si="6"/>
        <v>33144</v>
      </c>
      <c r="F27" s="10">
        <f t="shared" si="1"/>
        <v>33144</v>
      </c>
      <c r="G27" s="9">
        <f t="shared" si="2"/>
        <v>0</v>
      </c>
      <c r="H27" s="9">
        <f t="shared" si="3"/>
        <v>0</v>
      </c>
      <c r="I27" s="9">
        <f t="shared" si="4"/>
        <v>0</v>
      </c>
      <c r="J27" s="130"/>
      <c r="K27" s="132"/>
      <c r="L27" s="158"/>
      <c r="M27" s="159"/>
      <c r="N27" s="16">
        <v>15</v>
      </c>
      <c r="O27" s="152">
        <f t="shared" si="5"/>
        <v>88.025000000000034</v>
      </c>
    </row>
    <row r="28" spans="1:15" x14ac:dyDescent="0.2">
      <c r="A28" s="10">
        <v>16</v>
      </c>
      <c r="B28" s="130"/>
      <c r="C28" s="130"/>
      <c r="D28" s="8">
        <f t="shared" si="0"/>
        <v>0</v>
      </c>
      <c r="E28" s="10">
        <f t="shared" si="6"/>
        <v>33144</v>
      </c>
      <c r="F28" s="10">
        <f t="shared" si="1"/>
        <v>33144</v>
      </c>
      <c r="G28" s="9">
        <f t="shared" si="2"/>
        <v>0</v>
      </c>
      <c r="H28" s="9">
        <f t="shared" si="3"/>
        <v>0</v>
      </c>
      <c r="I28" s="9">
        <f t="shared" si="4"/>
        <v>0</v>
      </c>
      <c r="J28" s="130"/>
      <c r="K28" s="132"/>
      <c r="L28" s="158"/>
      <c r="M28" s="159"/>
      <c r="N28" s="16">
        <v>16</v>
      </c>
      <c r="O28" s="152">
        <f t="shared" si="5"/>
        <v>88.025000000000034</v>
      </c>
    </row>
    <row r="29" spans="1:15" x14ac:dyDescent="0.2">
      <c r="A29" s="7">
        <v>17</v>
      </c>
      <c r="B29" s="130"/>
      <c r="C29" s="130"/>
      <c r="D29" s="8">
        <f t="shared" si="0"/>
        <v>0</v>
      </c>
      <c r="E29" s="10">
        <f t="shared" si="6"/>
        <v>33144</v>
      </c>
      <c r="F29" s="10">
        <f t="shared" si="1"/>
        <v>33144</v>
      </c>
      <c r="G29" s="9">
        <f t="shared" si="2"/>
        <v>0</v>
      </c>
      <c r="H29" s="9">
        <f t="shared" si="3"/>
        <v>0</v>
      </c>
      <c r="I29" s="9">
        <f t="shared" si="4"/>
        <v>0</v>
      </c>
      <c r="J29" s="130"/>
      <c r="K29" s="132"/>
      <c r="L29" s="158"/>
      <c r="M29" s="159"/>
      <c r="N29" s="16">
        <v>17</v>
      </c>
      <c r="O29" s="152">
        <f t="shared" si="5"/>
        <v>88.025000000000034</v>
      </c>
    </row>
    <row r="30" spans="1:15" x14ac:dyDescent="0.2">
      <c r="A30" s="10">
        <v>18</v>
      </c>
      <c r="B30" s="130"/>
      <c r="C30" s="130"/>
      <c r="D30" s="8">
        <f t="shared" si="0"/>
        <v>0</v>
      </c>
      <c r="E30" s="10">
        <f t="shared" si="6"/>
        <v>33144</v>
      </c>
      <c r="F30" s="10">
        <f t="shared" si="1"/>
        <v>33144</v>
      </c>
      <c r="G30" s="9">
        <f t="shared" si="2"/>
        <v>0</v>
      </c>
      <c r="H30" s="9">
        <f t="shared" si="3"/>
        <v>0</v>
      </c>
      <c r="I30" s="9">
        <f t="shared" si="4"/>
        <v>0</v>
      </c>
      <c r="J30" s="130"/>
      <c r="K30" s="132"/>
      <c r="L30" s="158"/>
      <c r="M30" s="159"/>
      <c r="N30" s="16">
        <v>18</v>
      </c>
      <c r="O30" s="152">
        <f t="shared" si="5"/>
        <v>88.025000000000034</v>
      </c>
    </row>
    <row r="31" spans="1:15" x14ac:dyDescent="0.2">
      <c r="A31" s="7">
        <v>19</v>
      </c>
      <c r="B31" s="130"/>
      <c r="C31" s="130"/>
      <c r="D31" s="8">
        <f t="shared" si="0"/>
        <v>0</v>
      </c>
      <c r="E31" s="10">
        <f t="shared" si="6"/>
        <v>33144</v>
      </c>
      <c r="F31" s="10">
        <f t="shared" si="1"/>
        <v>33144</v>
      </c>
      <c r="G31" s="9">
        <f t="shared" si="2"/>
        <v>0</v>
      </c>
      <c r="H31" s="9">
        <f t="shared" si="3"/>
        <v>0</v>
      </c>
      <c r="I31" s="9">
        <f t="shared" si="4"/>
        <v>0</v>
      </c>
      <c r="J31" s="130"/>
      <c r="K31" s="132"/>
      <c r="L31" s="158"/>
      <c r="M31" s="159"/>
      <c r="N31" s="16">
        <v>19</v>
      </c>
      <c r="O31" s="152">
        <f t="shared" si="5"/>
        <v>88.025000000000034</v>
      </c>
    </row>
    <row r="32" spans="1:15" x14ac:dyDescent="0.2">
      <c r="A32" s="10">
        <v>20</v>
      </c>
      <c r="B32" s="130"/>
      <c r="C32" s="130"/>
      <c r="D32" s="8">
        <f t="shared" si="0"/>
        <v>0</v>
      </c>
      <c r="E32" s="10">
        <f t="shared" si="6"/>
        <v>33144</v>
      </c>
      <c r="F32" s="10">
        <f t="shared" si="1"/>
        <v>33144</v>
      </c>
      <c r="G32" s="9">
        <f t="shared" si="2"/>
        <v>0</v>
      </c>
      <c r="H32" s="9">
        <f t="shared" si="3"/>
        <v>0</v>
      </c>
      <c r="I32" s="9">
        <f t="shared" si="4"/>
        <v>0</v>
      </c>
      <c r="J32" s="130"/>
      <c r="K32" s="132"/>
      <c r="L32" s="158"/>
      <c r="M32" s="159"/>
      <c r="N32" s="16">
        <v>20</v>
      </c>
      <c r="O32" s="152">
        <f t="shared" si="5"/>
        <v>88.025000000000034</v>
      </c>
    </row>
    <row r="33" spans="1:15" x14ac:dyDescent="0.2">
      <c r="A33" s="7">
        <v>21</v>
      </c>
      <c r="B33" s="130"/>
      <c r="C33" s="130"/>
      <c r="D33" s="8">
        <f t="shared" si="0"/>
        <v>0</v>
      </c>
      <c r="E33" s="10">
        <f t="shared" si="6"/>
        <v>33144</v>
      </c>
      <c r="F33" s="10">
        <f t="shared" si="1"/>
        <v>33144</v>
      </c>
      <c r="G33" s="9">
        <f t="shared" si="2"/>
        <v>0</v>
      </c>
      <c r="H33" s="9">
        <f t="shared" si="3"/>
        <v>0</v>
      </c>
      <c r="I33" s="9">
        <f t="shared" si="4"/>
        <v>0</v>
      </c>
      <c r="J33" s="130"/>
      <c r="K33" s="132"/>
      <c r="L33" s="158"/>
      <c r="M33" s="159"/>
      <c r="N33" s="16">
        <v>21</v>
      </c>
      <c r="O33" s="152">
        <f t="shared" si="5"/>
        <v>88.025000000000034</v>
      </c>
    </row>
    <row r="34" spans="1:15" x14ac:dyDescent="0.2">
      <c r="A34" s="10">
        <v>22</v>
      </c>
      <c r="B34" s="130"/>
      <c r="C34" s="130"/>
      <c r="D34" s="8">
        <f t="shared" si="0"/>
        <v>0</v>
      </c>
      <c r="E34" s="10">
        <f t="shared" si="6"/>
        <v>33144</v>
      </c>
      <c r="F34" s="10">
        <f t="shared" si="1"/>
        <v>33144</v>
      </c>
      <c r="G34" s="9">
        <f t="shared" si="2"/>
        <v>0</v>
      </c>
      <c r="H34" s="9">
        <f t="shared" si="3"/>
        <v>0</v>
      </c>
      <c r="I34" s="9">
        <f t="shared" si="4"/>
        <v>0</v>
      </c>
      <c r="J34" s="130"/>
      <c r="K34" s="132"/>
      <c r="L34" s="158"/>
      <c r="M34" s="159"/>
      <c r="N34" s="16">
        <v>22</v>
      </c>
      <c r="O34" s="152">
        <f t="shared" si="5"/>
        <v>88.025000000000034</v>
      </c>
    </row>
    <row r="35" spans="1:15" x14ac:dyDescent="0.2">
      <c r="A35" s="7">
        <v>23</v>
      </c>
      <c r="B35" s="130"/>
      <c r="C35" s="130"/>
      <c r="D35" s="8">
        <f t="shared" si="0"/>
        <v>0</v>
      </c>
      <c r="E35" s="10">
        <f t="shared" si="6"/>
        <v>33144</v>
      </c>
      <c r="F35" s="10">
        <f t="shared" si="1"/>
        <v>33144</v>
      </c>
      <c r="G35" s="9">
        <f t="shared" si="2"/>
        <v>0</v>
      </c>
      <c r="H35" s="9">
        <f t="shared" si="3"/>
        <v>0</v>
      </c>
      <c r="I35" s="9">
        <f t="shared" si="4"/>
        <v>0</v>
      </c>
      <c r="J35" s="130"/>
      <c r="K35" s="132"/>
      <c r="L35" s="158"/>
      <c r="M35" s="159"/>
      <c r="N35" s="16">
        <v>23</v>
      </c>
      <c r="O35" s="152">
        <f t="shared" si="5"/>
        <v>88.025000000000034</v>
      </c>
    </row>
    <row r="36" spans="1:15" x14ac:dyDescent="0.2">
      <c r="A36" s="10">
        <v>24</v>
      </c>
      <c r="B36" s="130"/>
      <c r="C36" s="130"/>
      <c r="D36" s="8">
        <f t="shared" si="0"/>
        <v>0</v>
      </c>
      <c r="E36" s="10">
        <f t="shared" si="6"/>
        <v>33144</v>
      </c>
      <c r="F36" s="10">
        <f t="shared" si="1"/>
        <v>33144</v>
      </c>
      <c r="G36" s="9">
        <f t="shared" si="2"/>
        <v>0</v>
      </c>
      <c r="H36" s="9">
        <f t="shared" si="3"/>
        <v>0</v>
      </c>
      <c r="I36" s="9">
        <f t="shared" si="4"/>
        <v>0</v>
      </c>
      <c r="J36" s="130"/>
      <c r="K36" s="132"/>
      <c r="L36" s="158"/>
      <c r="M36" s="159"/>
      <c r="N36" s="16">
        <v>24</v>
      </c>
      <c r="O36" s="152">
        <f t="shared" si="5"/>
        <v>88.025000000000034</v>
      </c>
    </row>
    <row r="37" spans="1:15" x14ac:dyDescent="0.2">
      <c r="A37" s="7">
        <v>25</v>
      </c>
      <c r="B37" s="130"/>
      <c r="C37" s="130"/>
      <c r="D37" s="8">
        <f t="shared" si="0"/>
        <v>0</v>
      </c>
      <c r="E37" s="10">
        <f t="shared" si="6"/>
        <v>33144</v>
      </c>
      <c r="F37" s="10">
        <f t="shared" si="1"/>
        <v>33144</v>
      </c>
      <c r="G37" s="9">
        <f t="shared" si="2"/>
        <v>0</v>
      </c>
      <c r="H37" s="9">
        <f t="shared" si="3"/>
        <v>0</v>
      </c>
      <c r="I37" s="9">
        <f t="shared" si="4"/>
        <v>0</v>
      </c>
      <c r="J37" s="130"/>
      <c r="K37" s="132"/>
      <c r="L37" s="158"/>
      <c r="M37" s="159"/>
      <c r="N37" s="16">
        <v>25</v>
      </c>
      <c r="O37" s="152">
        <f t="shared" si="5"/>
        <v>88.025000000000034</v>
      </c>
    </row>
    <row r="38" spans="1:15" x14ac:dyDescent="0.2">
      <c r="A38" s="10">
        <v>26</v>
      </c>
      <c r="B38" s="130"/>
      <c r="C38" s="130"/>
      <c r="D38" s="8">
        <f t="shared" si="0"/>
        <v>0</v>
      </c>
      <c r="E38" s="10">
        <f t="shared" si="6"/>
        <v>33144</v>
      </c>
      <c r="F38" s="10">
        <f t="shared" si="1"/>
        <v>33144</v>
      </c>
      <c r="G38" s="9">
        <f t="shared" si="2"/>
        <v>0</v>
      </c>
      <c r="H38" s="9">
        <f t="shared" si="3"/>
        <v>0</v>
      </c>
      <c r="I38" s="9">
        <f t="shared" si="4"/>
        <v>0</v>
      </c>
      <c r="J38" s="130"/>
      <c r="K38" s="132"/>
      <c r="L38" s="158"/>
      <c r="M38" s="159"/>
      <c r="N38" s="16">
        <v>26</v>
      </c>
      <c r="O38" s="152">
        <f t="shared" si="5"/>
        <v>88.025000000000034</v>
      </c>
    </row>
    <row r="39" spans="1:15" x14ac:dyDescent="0.2">
      <c r="A39" s="7">
        <v>27</v>
      </c>
      <c r="B39" s="130"/>
      <c r="C39" s="130"/>
      <c r="D39" s="8">
        <f t="shared" si="0"/>
        <v>0</v>
      </c>
      <c r="E39" s="10">
        <f t="shared" si="6"/>
        <v>33144</v>
      </c>
      <c r="F39" s="10">
        <f t="shared" si="1"/>
        <v>33144</v>
      </c>
      <c r="G39" s="9">
        <f t="shared" si="2"/>
        <v>0</v>
      </c>
      <c r="H39" s="9">
        <f t="shared" si="3"/>
        <v>0</v>
      </c>
      <c r="I39" s="9">
        <f t="shared" si="4"/>
        <v>0</v>
      </c>
      <c r="J39" s="130"/>
      <c r="K39" s="132"/>
      <c r="L39" s="158"/>
      <c r="M39" s="159"/>
      <c r="N39" s="16">
        <v>27</v>
      </c>
      <c r="O39" s="152">
        <f t="shared" si="5"/>
        <v>88.025000000000034</v>
      </c>
    </row>
    <row r="40" spans="1:15" x14ac:dyDescent="0.2">
      <c r="A40" s="10">
        <v>28</v>
      </c>
      <c r="B40" s="130"/>
      <c r="C40" s="130"/>
      <c r="D40" s="8">
        <f t="shared" si="0"/>
        <v>0</v>
      </c>
      <c r="E40" s="10">
        <f t="shared" si="6"/>
        <v>33144</v>
      </c>
      <c r="F40" s="10">
        <f t="shared" si="1"/>
        <v>33144</v>
      </c>
      <c r="G40" s="9">
        <f t="shared" si="2"/>
        <v>0</v>
      </c>
      <c r="H40" s="9">
        <f t="shared" si="3"/>
        <v>0</v>
      </c>
      <c r="I40" s="9">
        <f t="shared" si="4"/>
        <v>0</v>
      </c>
      <c r="J40" s="130"/>
      <c r="K40" s="132"/>
      <c r="L40" s="158"/>
      <c r="M40" s="159"/>
      <c r="N40" s="16">
        <v>28</v>
      </c>
      <c r="O40" s="152">
        <f t="shared" si="5"/>
        <v>88.025000000000034</v>
      </c>
    </row>
    <row r="41" spans="1:15" x14ac:dyDescent="0.2">
      <c r="A41" s="7">
        <v>29</v>
      </c>
      <c r="B41" s="130"/>
      <c r="C41" s="130"/>
      <c r="D41" s="8">
        <f t="shared" si="0"/>
        <v>0</v>
      </c>
      <c r="E41" s="10">
        <f t="shared" si="6"/>
        <v>33144</v>
      </c>
      <c r="F41" s="10">
        <f t="shared" si="1"/>
        <v>33144</v>
      </c>
      <c r="G41" s="9">
        <f t="shared" si="2"/>
        <v>0</v>
      </c>
      <c r="H41" s="9">
        <f t="shared" si="3"/>
        <v>0</v>
      </c>
      <c r="I41" s="9">
        <f t="shared" si="4"/>
        <v>0</v>
      </c>
      <c r="J41" s="130"/>
      <c r="K41" s="132"/>
      <c r="L41" s="158"/>
      <c r="M41" s="159"/>
      <c r="N41" s="16">
        <v>29</v>
      </c>
      <c r="O41" s="152">
        <f t="shared" si="5"/>
        <v>88.025000000000034</v>
      </c>
    </row>
    <row r="42" spans="1:15" x14ac:dyDescent="0.2">
      <c r="A42" s="10">
        <v>30</v>
      </c>
      <c r="B42" s="130"/>
      <c r="C42" s="130"/>
      <c r="D42" s="8">
        <f t="shared" si="0"/>
        <v>0</v>
      </c>
      <c r="E42" s="10">
        <f t="shared" si="6"/>
        <v>33144</v>
      </c>
      <c r="F42" s="10">
        <f t="shared" si="1"/>
        <v>33144</v>
      </c>
      <c r="G42" s="9">
        <f t="shared" si="2"/>
        <v>0</v>
      </c>
      <c r="H42" s="9">
        <f t="shared" si="3"/>
        <v>0</v>
      </c>
      <c r="I42" s="9">
        <f t="shared" si="4"/>
        <v>0</v>
      </c>
      <c r="J42" s="130"/>
      <c r="K42" s="132"/>
      <c r="L42" s="158"/>
      <c r="M42" s="159"/>
      <c r="N42" s="16">
        <v>30</v>
      </c>
      <c r="O42" s="152">
        <f t="shared" si="5"/>
        <v>88.025000000000034</v>
      </c>
    </row>
    <row r="43" spans="1:15" ht="13.5" thickBot="1" x14ac:dyDescent="0.25">
      <c r="A43" s="7">
        <v>31</v>
      </c>
      <c r="B43" s="131"/>
      <c r="C43" s="131"/>
      <c r="D43" s="7">
        <f t="shared" si="0"/>
        <v>0</v>
      </c>
      <c r="E43" s="11">
        <f t="shared" si="6"/>
        <v>33144</v>
      </c>
      <c r="F43" s="11">
        <f t="shared" si="1"/>
        <v>33144</v>
      </c>
      <c r="G43" s="109">
        <f t="shared" si="2"/>
        <v>0</v>
      </c>
      <c r="H43" s="109">
        <f t="shared" si="3"/>
        <v>0</v>
      </c>
      <c r="I43" s="109">
        <f t="shared" si="4"/>
        <v>0</v>
      </c>
      <c r="J43" s="131"/>
      <c r="K43" s="133"/>
      <c r="L43" s="161"/>
      <c r="M43" s="162"/>
      <c r="N43" s="16">
        <v>31</v>
      </c>
      <c r="O43" s="153">
        <f t="shared" si="5"/>
        <v>88.025000000000034</v>
      </c>
    </row>
    <row r="44" spans="1:15" x14ac:dyDescent="0.2">
      <c r="A44" s="110"/>
      <c r="B44" s="248" t="s">
        <v>4</v>
      </c>
      <c r="C44" s="255"/>
      <c r="D44" s="244"/>
      <c r="E44" s="248" t="s">
        <v>5</v>
      </c>
      <c r="F44" s="249"/>
      <c r="G44" s="256" t="s">
        <v>6</v>
      </c>
      <c r="H44" s="257"/>
      <c r="I44" s="258"/>
      <c r="J44" s="254" t="s">
        <v>23</v>
      </c>
      <c r="K44" s="249"/>
      <c r="L44" s="243" t="s">
        <v>24</v>
      </c>
      <c r="M44" s="244"/>
      <c r="O44" s="149" t="s">
        <v>7</v>
      </c>
    </row>
    <row r="45" spans="1:15" ht="13.5" thickBot="1" x14ac:dyDescent="0.25">
      <c r="A45" s="18" t="s">
        <v>16</v>
      </c>
      <c r="B45" s="6" t="s">
        <v>8</v>
      </c>
      <c r="C45" s="4" t="s">
        <v>9</v>
      </c>
      <c r="D45" s="20" t="s">
        <v>10</v>
      </c>
      <c r="E45" s="6" t="s">
        <v>11</v>
      </c>
      <c r="F45" s="5" t="s">
        <v>12</v>
      </c>
      <c r="G45" s="6" t="s">
        <v>8</v>
      </c>
      <c r="H45" s="4" t="s">
        <v>9</v>
      </c>
      <c r="I45" s="20" t="s">
        <v>10</v>
      </c>
      <c r="J45" s="19" t="s">
        <v>13</v>
      </c>
      <c r="K45" s="154" t="s">
        <v>51</v>
      </c>
      <c r="L45" s="6" t="s">
        <v>13</v>
      </c>
      <c r="M45" s="49" t="s">
        <v>51</v>
      </c>
      <c r="O45" s="150" t="s">
        <v>13</v>
      </c>
    </row>
    <row r="46" spans="1:15" ht="13.5" thickBot="1" x14ac:dyDescent="0.25">
      <c r="A46" s="12"/>
      <c r="B46" s="12">
        <f>SUM(B13:B43)</f>
        <v>10</v>
      </c>
      <c r="C46" s="12">
        <f>SUM(C13:C43)</f>
        <v>0</v>
      </c>
      <c r="D46" s="12">
        <f>SUM(D13:D43)</f>
        <v>10</v>
      </c>
      <c r="E46" s="12">
        <f>E7</f>
        <v>33134</v>
      </c>
      <c r="F46" s="12">
        <f>F43</f>
        <v>33144</v>
      </c>
      <c r="G46" s="13">
        <f t="shared" ref="G46:M46" si="7">SUM(G13:G43)</f>
        <v>1.05</v>
      </c>
      <c r="H46" s="13">
        <f t="shared" si="7"/>
        <v>0</v>
      </c>
      <c r="I46" s="13">
        <f t="shared" si="7"/>
        <v>1.05</v>
      </c>
      <c r="J46" s="13">
        <f t="shared" si="7"/>
        <v>53</v>
      </c>
      <c r="K46" s="99">
        <f t="shared" si="7"/>
        <v>78.92</v>
      </c>
      <c r="L46" s="13">
        <f t="shared" si="7"/>
        <v>0</v>
      </c>
      <c r="M46" s="13">
        <f t="shared" si="7"/>
        <v>0</v>
      </c>
      <c r="O46" s="194">
        <f>O43</f>
        <v>88.025000000000034</v>
      </c>
    </row>
    <row r="47" spans="1:15" ht="13.5" thickBot="1" x14ac:dyDescent="0.25"/>
    <row r="48" spans="1:15" ht="15" x14ac:dyDescent="0.2">
      <c r="C48" s="104" t="s">
        <v>64</v>
      </c>
      <c r="D48" s="45"/>
      <c r="E48" s="106" t="s">
        <v>66</v>
      </c>
      <c r="F48" s="112"/>
      <c r="G48" s="243" t="s">
        <v>68</v>
      </c>
      <c r="H48" s="255"/>
      <c r="I48" s="244"/>
      <c r="J48" s="254" t="s">
        <v>65</v>
      </c>
      <c r="K48" s="244"/>
    </row>
    <row r="49" spans="2:13" x14ac:dyDescent="0.2">
      <c r="C49" s="105"/>
      <c r="D49" s="79"/>
      <c r="E49" s="105" t="s">
        <v>67</v>
      </c>
      <c r="F49" s="21"/>
      <c r="G49" s="107" t="s">
        <v>8</v>
      </c>
      <c r="H49" s="103" t="s">
        <v>9</v>
      </c>
      <c r="I49" s="115" t="s">
        <v>10</v>
      </c>
      <c r="J49" s="114" t="s">
        <v>13</v>
      </c>
      <c r="K49" s="108" t="s">
        <v>51</v>
      </c>
    </row>
    <row r="50" spans="2:13" ht="13.5" thickBot="1" x14ac:dyDescent="0.25">
      <c r="C50" s="101" t="str">
        <f>'ROK Prev MV'!F5</f>
        <v>Diesel</v>
      </c>
      <c r="D50" s="46" t="str">
        <f>'ROK Prev MV'!G5</f>
        <v>BA</v>
      </c>
      <c r="E50" s="101">
        <f>ROUND((K8+K46+M46)/(K7+J46+L46),3)</f>
        <v>1.28</v>
      </c>
      <c r="F50" s="113" t="s">
        <v>51</v>
      </c>
      <c r="G50" s="111">
        <f>G46*$E50</f>
        <v>1.3440000000000001</v>
      </c>
      <c r="H50" s="116">
        <f>H46*$E50</f>
        <v>0</v>
      </c>
      <c r="I50" s="117">
        <f>I46*$E50</f>
        <v>1.3440000000000001</v>
      </c>
      <c r="J50" s="118">
        <f>J46+L46</f>
        <v>53</v>
      </c>
      <c r="K50" s="118">
        <f>K46+M46</f>
        <v>78.92</v>
      </c>
    </row>
    <row r="52" spans="2:13" x14ac:dyDescent="0.2">
      <c r="J52" s="21"/>
      <c r="K52" s="21"/>
      <c r="L52" s="102"/>
      <c r="M52" s="102"/>
    </row>
    <row r="53" spans="2:13" x14ac:dyDescent="0.2">
      <c r="B53" t="s">
        <v>70</v>
      </c>
      <c r="E53" s="119"/>
      <c r="J53" s="21"/>
      <c r="K53" s="21" t="s">
        <v>69</v>
      </c>
      <c r="L53" s="120"/>
      <c r="M53" s="120"/>
    </row>
  </sheetData>
  <sheetProtection password="C6F6" sheet="1"/>
  <mergeCells count="16">
    <mergeCell ref="B44:D44"/>
    <mergeCell ref="E44:F44"/>
    <mergeCell ref="G44:I44"/>
    <mergeCell ref="J44:K44"/>
    <mergeCell ref="G48:I48"/>
    <mergeCell ref="J48:K48"/>
    <mergeCell ref="L11:M11"/>
    <mergeCell ref="L44:M44"/>
    <mergeCell ref="A1:N1"/>
    <mergeCell ref="A3:B3"/>
    <mergeCell ref="F3:G3"/>
    <mergeCell ref="A4:B4"/>
    <mergeCell ref="B11:D11"/>
    <mergeCell ref="E11:F11"/>
    <mergeCell ref="G11:I11"/>
    <mergeCell ref="J11:K11"/>
  </mergeCells>
  <printOptions horizontalCentered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13</vt:i4>
      </vt:variant>
      <vt:variant>
        <vt:lpstr>Pomenované rozsahy</vt:lpstr>
      </vt:variant>
      <vt:variant>
        <vt:i4>13</vt:i4>
      </vt:variant>
    </vt:vector>
  </HeadingPairs>
  <TitlesOfParts>
    <vt:vector size="26" baseType="lpstr">
      <vt:lpstr>ROK Prev MV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'01'!Oblasť_tlače</vt:lpstr>
      <vt:lpstr>'02'!Oblasť_tlače</vt:lpstr>
      <vt:lpstr>'03'!Oblasť_tlače</vt:lpstr>
      <vt:lpstr>'04'!Oblasť_tlače</vt:lpstr>
      <vt:lpstr>'05'!Oblasť_tlače</vt:lpstr>
      <vt:lpstr>'06'!Oblasť_tlače</vt:lpstr>
      <vt:lpstr>'07'!Oblasť_tlače</vt:lpstr>
      <vt:lpstr>'08'!Oblasť_tlače</vt:lpstr>
      <vt:lpstr>'09'!Oblasť_tlače</vt:lpstr>
      <vt:lpstr>'10'!Oblasť_tlače</vt:lpstr>
      <vt:lpstr>'11'!Oblasť_tlače</vt:lpstr>
      <vt:lpstr>'12'!Oblasť_tlače</vt:lpstr>
      <vt:lpstr>'ROK Prev MV'!Oblasť_tlače</vt:lpstr>
    </vt:vector>
  </TitlesOfParts>
  <Company>Krajsky  urad  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Mes.vykaz vozidla</dc:title>
  <dc:creator>Viliam Wokaun</dc:creator>
  <cp:lastModifiedBy>Mário B</cp:lastModifiedBy>
  <cp:lastPrinted>2014-12-15T14:06:31Z</cp:lastPrinted>
  <dcterms:created xsi:type="dcterms:W3CDTF">2008-07-02T09:22:07Z</dcterms:created>
  <dcterms:modified xsi:type="dcterms:W3CDTF">2025-12-03T15:22:43Z</dcterms:modified>
</cp:coreProperties>
</file>